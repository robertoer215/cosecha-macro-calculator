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o" sheetId="1" state="visible" r:id="rId1"/>
    <sheet xmlns:r="http://schemas.openxmlformats.org/officeDocument/2006/relationships" name="Escandallo" sheetId="2" state="visible" r:id="rId2"/>
    <sheet xmlns:r="http://schemas.openxmlformats.org/officeDocument/2006/relationships" name="Sub-recetas" sheetId="3" state="visible" r:id="rId3"/>
    <sheet xmlns:r="http://schemas.openxmlformats.org/officeDocument/2006/relationships" name="Insu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FF5F2D0E"/>
      <sz val="15"/>
    </font>
    <font>
      <i val="1"/>
      <color rgb="FF7A6A58"/>
      <sz val="9"/>
    </font>
    <font>
      <b val="1"/>
      <color rgb="FFFCFAF5"/>
      <sz val="11"/>
    </font>
    <font>
      <b val="1"/>
      <color rgb="FF5F2D0E"/>
    </font>
    <font>
      <b val="1"/>
    </font>
    <font>
      <b val="1"/>
      <color rgb="FF5F2D0E"/>
      <sz val="14"/>
    </font>
    <font>
      <color rgb="FF7A6A58"/>
      <sz val="8"/>
    </font>
  </fonts>
  <fills count="6">
    <fill>
      <patternFill/>
    </fill>
    <fill>
      <patternFill patternType="gray125"/>
    </fill>
    <fill>
      <patternFill patternType="solid">
        <fgColor rgb="FF5F2D0E"/>
      </patternFill>
    </fill>
    <fill>
      <patternFill patternType="solid">
        <fgColor rgb="FFF0EBE2"/>
      </patternFill>
    </fill>
    <fill>
      <patternFill patternType="solid">
        <fgColor rgb="FFFFD3A8"/>
      </patternFill>
    </fill>
    <fill>
      <patternFill patternType="solid">
        <fgColor rgb="FFFFF4E6"/>
      </patternFill>
    </fill>
  </fills>
  <borders count="2">
    <border>
      <left/>
      <right/>
      <top/>
      <bottom/>
      <diagonal/>
    </border>
    <border>
      <left style="thin">
        <color rgb="FFD8D0C4"/>
      </left>
      <right style="thin">
        <color rgb="FFD8D0C4"/>
      </right>
      <top style="thin">
        <color rgb="FFD8D0C4"/>
      </top>
      <bottom style="thin">
        <color rgb="FFD8D0C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5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6" fillId="0" borderId="0" pivotButton="0" quotePrefix="0" xfId="0"/>
    <xf numFmtId="0" fontId="4" fillId="4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wrapText="1"/>
    </xf>
    <xf numFmtId="164" fontId="5" fillId="3" borderId="1" pivotButton="0" quotePrefix="0" xfId="0"/>
    <xf numFmtId="0" fontId="0" fillId="4" borderId="1" applyAlignment="1" pivotButton="0" quotePrefix="0" xfId="0">
      <alignment wrapText="1"/>
    </xf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7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9" customWidth="1" min="3" max="3"/>
    <col width="14" customWidth="1" min="4" max="4"/>
    <col width="14" customWidth="1" min="5" max="5"/>
    <col width="17" customWidth="1" min="6" max="6"/>
    <col width="13" customWidth="1" min="7" max="7"/>
    <col width="16" customWidth="1" min="8" max="8"/>
    <col width="14" customWidth="1" min="9" max="9"/>
    <col width="8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COSECHA — Costeo de postres</t>
        </is>
      </c>
    </row>
    <row r="2">
      <c r="A2" s="2" t="inlineStr">
        <is>
          <t>Precio fórmula = TECHO(costo × 1.40 ÷ 0.85). Regla de negocio de la casa, no modificable.</t>
        </is>
      </c>
    </row>
    <row r="4" ht="30" customHeight="1">
      <c r="A4" s="3" t="inlineStr">
        <is>
          <t>Código</t>
        </is>
      </c>
      <c r="B4" s="3" t="inlineStr">
        <is>
          <t>Nombre</t>
        </is>
      </c>
      <c r="C4" s="3" t="inlineStr">
        <is>
          <t>Peso g</t>
        </is>
      </c>
      <c r="D4" s="3" t="inlineStr">
        <is>
          <t>Costo insumos</t>
        </is>
      </c>
      <c r="E4" s="3" t="inlineStr">
        <is>
          <t>Precio fórmula</t>
        </is>
      </c>
      <c r="F4" s="3" t="inlineStr">
        <is>
          <t>Food cost fórmula</t>
        </is>
      </c>
      <c r="G4" s="3" t="inlineStr">
        <is>
          <t>Precio carta</t>
        </is>
      </c>
      <c r="H4" s="3" t="inlineStr">
        <is>
          <t>Food cost carta</t>
        </is>
      </c>
      <c r="I4" s="3" t="inlineStr">
        <is>
          <t>Margen bruto</t>
        </is>
      </c>
      <c r="J4" s="3" t="inlineStr">
        <is>
          <t>kcal</t>
        </is>
      </c>
      <c r="K4" s="3" t="inlineStr">
        <is>
          <t>P g</t>
        </is>
      </c>
      <c r="L4" s="3" t="inlineStr">
        <is>
          <t>C g</t>
        </is>
      </c>
      <c r="M4" s="3" t="inlineStr">
        <is>
          <t>G g</t>
        </is>
      </c>
    </row>
    <row r="5">
      <c r="A5" s="4" t="inlineStr">
        <is>
          <t>PS-01</t>
        </is>
      </c>
      <c r="B5" s="5" t="inlineStr">
        <is>
          <t>Chocolate Chip Cookie</t>
        </is>
      </c>
      <c r="C5" s="5" t="n">
        <v>65</v>
      </c>
      <c r="D5" s="6" t="n">
        <v>11.83</v>
      </c>
      <c r="E5" s="6" t="n">
        <v>20</v>
      </c>
      <c r="F5" s="7">
        <f>D5/E5*100</f>
        <v/>
      </c>
      <c r="G5" s="8" t="n">
        <v>55</v>
      </c>
      <c r="H5" s="7">
        <f>D5/G5*100</f>
        <v/>
      </c>
      <c r="I5" s="6">
        <f>G5-D5</f>
        <v/>
      </c>
      <c r="J5" s="5" t="n">
        <v>346</v>
      </c>
      <c r="K5" s="5" t="n">
        <v>4</v>
      </c>
      <c r="L5" s="5" t="n">
        <v>35</v>
      </c>
      <c r="M5" s="5" t="n">
        <v>20.9</v>
      </c>
    </row>
    <row r="6">
      <c r="A6" s="4" t="inlineStr">
        <is>
          <t>PS-02</t>
        </is>
      </c>
      <c r="B6" s="5" t="inlineStr">
        <is>
          <t>Raspberry &amp; Pistachio Cookie</t>
        </is>
      </c>
      <c r="C6" s="5" t="n">
        <v>65</v>
      </c>
      <c r="D6" s="6" t="n">
        <v>21.04</v>
      </c>
      <c r="E6" s="6" t="n">
        <v>35</v>
      </c>
      <c r="F6" s="7">
        <f>D6/E6*100</f>
        <v/>
      </c>
      <c r="G6" s="8" t="n">
        <v>75</v>
      </c>
      <c r="H6" s="7">
        <f>D6/G6*100</f>
        <v/>
      </c>
      <c r="I6" s="6">
        <f>G6-D6</f>
        <v/>
      </c>
      <c r="J6" s="5" t="n">
        <v>326</v>
      </c>
      <c r="K6" s="5" t="n">
        <v>5</v>
      </c>
      <c r="L6" s="5" t="n">
        <v>32</v>
      </c>
      <c r="M6" s="5" t="n">
        <v>19.7</v>
      </c>
    </row>
    <row r="7">
      <c r="A7" s="4" t="inlineStr">
        <is>
          <t>PS-03</t>
        </is>
      </c>
      <c r="B7" s="5" t="inlineStr">
        <is>
          <t>Banana Bread</t>
        </is>
      </c>
      <c r="C7" s="5" t="n">
        <v>95</v>
      </c>
      <c r="D7" s="6" t="n">
        <v>9.82</v>
      </c>
      <c r="E7" s="6" t="n">
        <v>17</v>
      </c>
      <c r="F7" s="7">
        <f>D7/E7*100</f>
        <v/>
      </c>
      <c r="G7" s="8" t="n">
        <v>50</v>
      </c>
      <c r="H7" s="7">
        <f>D7/G7*100</f>
        <v/>
      </c>
      <c r="I7" s="6">
        <f>G7-D7</f>
        <v/>
      </c>
      <c r="J7" s="5" t="n">
        <v>320</v>
      </c>
      <c r="K7" s="5" t="n">
        <v>5</v>
      </c>
      <c r="L7" s="5" t="n">
        <v>36</v>
      </c>
      <c r="M7" s="5" t="n">
        <v>17.2</v>
      </c>
    </row>
    <row r="8">
      <c r="A8" s="4" t="inlineStr">
        <is>
          <t>PS-04</t>
        </is>
      </c>
      <c r="B8" s="5" t="inlineStr">
        <is>
          <t>Carrot Chai Cake</t>
        </is>
      </c>
      <c r="C8" s="5" t="n">
        <v>110</v>
      </c>
      <c r="D8" s="6" t="n">
        <v>15.99</v>
      </c>
      <c r="E8" s="6" t="n">
        <v>27</v>
      </c>
      <c r="F8" s="7">
        <f>D8/E8*100</f>
        <v/>
      </c>
      <c r="G8" s="8" t="n">
        <v>70</v>
      </c>
      <c r="H8" s="7">
        <f>D8/G8*100</f>
        <v/>
      </c>
      <c r="I8" s="6">
        <f>G8-D8</f>
        <v/>
      </c>
      <c r="J8" s="5" t="n">
        <v>427</v>
      </c>
      <c r="K8" s="5" t="n">
        <v>8</v>
      </c>
      <c r="L8" s="5" t="n">
        <v>37</v>
      </c>
      <c r="M8" s="5" t="n">
        <v>27.8</v>
      </c>
    </row>
    <row r="9">
      <c r="A9" s="4" t="inlineStr">
        <is>
          <t>PS-05</t>
        </is>
      </c>
      <c r="B9" s="5" t="inlineStr">
        <is>
          <t>Marbled Chocolate &amp; Tahini Cake</t>
        </is>
      </c>
      <c r="C9" s="5" t="n">
        <v>105</v>
      </c>
      <c r="D9" s="6" t="n">
        <v>17.79</v>
      </c>
      <c r="E9" s="6" t="n">
        <v>30</v>
      </c>
      <c r="F9" s="7">
        <f>D9/E9*100</f>
        <v/>
      </c>
      <c r="G9" s="8" t="n">
        <v>75</v>
      </c>
      <c r="H9" s="7">
        <f>D9/G9*100</f>
        <v/>
      </c>
      <c r="I9" s="6">
        <f>G9-D9</f>
        <v/>
      </c>
      <c r="J9" s="5" t="n">
        <v>429</v>
      </c>
      <c r="K9" s="5" t="n">
        <v>9</v>
      </c>
      <c r="L9" s="5" t="n">
        <v>40</v>
      </c>
      <c r="M9" s="5" t="n">
        <v>26.1</v>
      </c>
    </row>
    <row r="10">
      <c r="A10" s="9" t="n"/>
      <c r="B10" s="10" t="inlineStr">
        <is>
          <t>PROMEDIO</t>
        </is>
      </c>
      <c r="C10" s="9" t="n"/>
      <c r="D10" s="11">
        <f>AVERAGE(D5:D9)</f>
        <v/>
      </c>
      <c r="E10" s="11">
        <f>AVERAGE(E5:E9)</f>
        <v/>
      </c>
      <c r="F10" s="12">
        <f>D10/E10*100</f>
        <v/>
      </c>
      <c r="G10" s="11">
        <f>AVERAGE(G5:G9)</f>
        <v/>
      </c>
      <c r="H10" s="12">
        <f>D10/G10*100</f>
        <v/>
      </c>
      <c r="I10" s="11">
        <f>AVERAGE(I5:I9)</f>
        <v/>
      </c>
      <c r="J10" s="9" t="n"/>
      <c r="K10" s="9" t="n"/>
      <c r="L10" s="9" t="n"/>
      <c r="M10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0" customWidth="1" min="3" max="3"/>
    <col width="8" customWidth="1" min="4" max="4"/>
    <col width="9" customWidth="1" min="5" max="5"/>
    <col width="17" customWidth="1" min="6" max="6"/>
    <col width="12" customWidth="1" min="7" max="7"/>
    <col width="10" customWidth="1" min="8" max="8"/>
    <col width="8" customWidth="1" min="9" max="9"/>
    <col width="8" customWidth="1" min="10" max="10"/>
    <col width="8" customWidth="1" min="11" max="11"/>
    <col width="44" customWidth="1" min="12" max="12"/>
  </cols>
  <sheetData>
    <row r="1">
      <c r="A1" s="13" t="inlineStr">
        <is>
          <t>Escandallo por pieza — cada línea de insumo</t>
        </is>
      </c>
    </row>
    <row r="2">
      <c r="A2" s="2" t="inlineStr">
        <is>
          <t>Costo línea = (cantidad ÷ 1000) × precio unitario ÷ (1 − merma)</t>
        </is>
      </c>
    </row>
    <row r="4" ht="30" customHeight="1">
      <c r="A4" s="3" t="inlineStr">
        <is>
          <t>Código</t>
        </is>
      </c>
      <c r="B4" s="3" t="inlineStr">
        <is>
          <t>Insumo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Merma %</t>
        </is>
      </c>
      <c r="F4" s="3" t="inlineStr">
        <is>
          <t>Precio MXN/kg o L</t>
        </is>
      </c>
      <c r="G4" s="3" t="inlineStr">
        <is>
          <t>Costo línea</t>
        </is>
      </c>
      <c r="H4" s="3" t="inlineStr">
        <is>
          <t>kcal/100</t>
        </is>
      </c>
      <c r="I4" s="3" t="inlineStr">
        <is>
          <t>P/100</t>
        </is>
      </c>
      <c r="J4" s="3" t="inlineStr">
        <is>
          <t>C/100</t>
        </is>
      </c>
      <c r="K4" s="3" t="inlineStr">
        <is>
          <t>G/100</t>
        </is>
      </c>
      <c r="L4" s="3" t="inlineStr">
        <is>
          <t>Fuente del precio</t>
        </is>
      </c>
    </row>
    <row r="5">
      <c r="A5" s="14" t="inlineStr">
        <is>
          <t>PS-01</t>
        </is>
      </c>
      <c r="B5" s="15" t="inlineStr">
        <is>
          <t>Chocolate Chip Cookie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</row>
    <row r="6">
      <c r="A6" s="5" t="inlineStr"/>
      <c r="B6" s="5" t="inlineStr">
        <is>
          <t>Mezcla de harinas sin gluten COSECHA (sub-receta)</t>
        </is>
      </c>
      <c r="C6" s="5" t="n">
        <v>28</v>
      </c>
      <c r="D6" s="5" t="inlineStr">
        <is>
          <t>g</t>
        </is>
      </c>
      <c r="E6" s="5" t="n">
        <v>0</v>
      </c>
      <c r="F6" s="6" t="n">
        <v>104.35</v>
      </c>
      <c r="G6" s="6" t="n">
        <v>2.92</v>
      </c>
      <c r="H6" s="5" t="n">
        <v>449</v>
      </c>
      <c r="I6" s="5" t="n">
        <v>10.6</v>
      </c>
      <c r="J6" s="5" t="n">
        <v>58.9</v>
      </c>
      <c r="K6" s="5" t="n">
        <v>20.5</v>
      </c>
      <c r="L6" s="17" t="inlineStr">
        <is>
          <t>sub-receta de casa; costo derivado de sus insumos</t>
        </is>
      </c>
    </row>
    <row r="7">
      <c r="A7" s="5" t="inlineStr"/>
      <c r="B7" s="5" t="inlineStr">
        <is>
          <t>Aceite de oliva virgen extra</t>
        </is>
      </c>
      <c r="C7" s="5" t="n">
        <v>9</v>
      </c>
      <c r="D7" s="5" t="inlineStr">
        <is>
          <t>g</t>
        </is>
      </c>
      <c r="E7" s="5" t="n">
        <v>0</v>
      </c>
      <c r="F7" s="6" t="n">
        <v>210</v>
      </c>
      <c r="G7" s="6" t="n">
        <v>1.89</v>
      </c>
      <c r="H7" s="5" t="n">
        <v>884</v>
      </c>
      <c r="I7" s="5" t="n">
        <v>0</v>
      </c>
      <c r="J7" s="5" t="n">
        <v>0</v>
      </c>
      <c r="K7" s="5" t="n">
        <v>100</v>
      </c>
      <c r="L7" s="17" t="inlineStr">
        <is>
          <t>SUPUESTO — rango 180-260/L en lata de 5 L, mayoreo Puebla</t>
        </is>
      </c>
    </row>
    <row r="8">
      <c r="A8" s="5" t="inlineStr"/>
      <c r="B8" s="5" t="inlineStr">
        <is>
          <t>Piloncillo rallado</t>
        </is>
      </c>
      <c r="C8" s="5" t="n">
        <v>9</v>
      </c>
      <c r="D8" s="5" t="inlineStr">
        <is>
          <t>g</t>
        </is>
      </c>
      <c r="E8" s="5" t="n">
        <v>0</v>
      </c>
      <c r="F8" s="6" t="n">
        <v>25</v>
      </c>
      <c r="G8" s="6" t="n">
        <v>0.22</v>
      </c>
      <c r="H8" s="5" t="n">
        <v>380</v>
      </c>
      <c r="I8" s="5" t="n">
        <v>0</v>
      </c>
      <c r="J8" s="5" t="n">
        <v>97</v>
      </c>
      <c r="K8" s="5" t="n">
        <v>0</v>
      </c>
      <c r="L8" s="17" t="inlineStr">
        <is>
          <t>mayoreo.online — caja 18 kg $450</t>
        </is>
      </c>
    </row>
    <row r="9">
      <c r="A9" s="5" t="inlineStr"/>
      <c r="B9" s="5" t="inlineStr">
        <is>
          <t>Pasta de dátil (sub-receta)</t>
        </is>
      </c>
      <c r="C9" s="5" t="n">
        <v>6</v>
      </c>
      <c r="D9" s="5" t="inlineStr">
        <is>
          <t>g</t>
        </is>
      </c>
      <c r="E9" s="5" t="n">
        <v>0</v>
      </c>
      <c r="F9" s="6" t="n">
        <v>140.79</v>
      </c>
      <c r="G9" s="6" t="n">
        <v>0.84</v>
      </c>
      <c r="H9" s="5" t="n">
        <v>204</v>
      </c>
      <c r="I9" s="5" t="n">
        <v>1.3</v>
      </c>
      <c r="J9" s="5" t="n">
        <v>55.3</v>
      </c>
      <c r="K9" s="5" t="n">
        <v>0.2</v>
      </c>
      <c r="L9" s="17" t="inlineStr">
        <is>
          <t>sub-receta de casa</t>
        </is>
      </c>
    </row>
    <row r="10">
      <c r="A10" s="5" t="inlineStr"/>
      <c r="B10" s="5" t="inlineStr">
        <is>
          <t>Huevo de lino (sub-receta)</t>
        </is>
      </c>
      <c r="C10" s="5" t="n">
        <v>6</v>
      </c>
      <c r="D10" s="5" t="inlineStr">
        <is>
          <t>g</t>
        </is>
      </c>
      <c r="E10" s="5" t="n">
        <v>0</v>
      </c>
      <c r="F10" s="6" t="n">
        <v>14.38</v>
      </c>
      <c r="G10" s="6" t="n">
        <v>0.09</v>
      </c>
      <c r="H10" s="5" t="n">
        <v>133.5</v>
      </c>
      <c r="I10" s="5" t="n">
        <v>4.6</v>
      </c>
      <c r="J10" s="5" t="n">
        <v>7.2</v>
      </c>
      <c r="K10" s="5" t="n">
        <v>10.6</v>
      </c>
      <c r="L10" s="17" t="inlineStr">
        <is>
          <t>sub-receta de casa</t>
        </is>
      </c>
    </row>
    <row r="11">
      <c r="A11" s="5" t="inlineStr"/>
      <c r="B11" s="5" t="inlineStr">
        <is>
          <t>Cobertura de chocolate 70% sin lácteo</t>
        </is>
      </c>
      <c r="C11" s="5" t="n">
        <v>13</v>
      </c>
      <c r="D11" s="5" t="inlineStr">
        <is>
          <t>g</t>
        </is>
      </c>
      <c r="E11" s="5" t="n">
        <v>0</v>
      </c>
      <c r="F11" s="6" t="n">
        <v>380</v>
      </c>
      <c r="G11" s="6" t="n">
        <v>4.94</v>
      </c>
      <c r="H11" s="5" t="n">
        <v>580</v>
      </c>
      <c r="I11" s="5" t="n">
        <v>7.8</v>
      </c>
      <c r="J11" s="5" t="n">
        <v>45.9</v>
      </c>
      <c r="K11" s="5" t="n">
        <v>42.6</v>
      </c>
      <c r="L11" s="17" t="inlineStr">
        <is>
          <t>SUPUESTO — rango 280-450; exigir lote sin leche ni manteca láctea</t>
        </is>
      </c>
    </row>
    <row r="12">
      <c r="A12" s="5" t="inlineStr"/>
      <c r="B12" s="5" t="inlineStr">
        <is>
          <t>Extracto de vainilla de Papantla</t>
        </is>
      </c>
      <c r="C12" s="5" t="n">
        <v>0.5</v>
      </c>
      <c r="D12" s="5" t="inlineStr">
        <is>
          <t>g</t>
        </is>
      </c>
      <c r="E12" s="5" t="n">
        <v>0</v>
      </c>
      <c r="F12" s="6" t="n">
        <v>1800</v>
      </c>
      <c r="G12" s="6" t="n">
        <v>0.9</v>
      </c>
      <c r="H12" s="5" t="n">
        <v>288</v>
      </c>
      <c r="I12" s="5" t="n">
        <v>0.1</v>
      </c>
      <c r="J12" s="5" t="n">
        <v>12.7</v>
      </c>
      <c r="K12" s="5" t="n">
        <v>0.1</v>
      </c>
      <c r="L12" s="17" t="inlineStr">
        <is>
          <t>SUPUESTO — rango 1200-3000/L de extracto puro</t>
        </is>
      </c>
    </row>
    <row r="13">
      <c r="A13" s="5" t="inlineStr"/>
      <c r="B13" s="5" t="inlineStr">
        <is>
          <t>Sal fina de mar</t>
        </is>
      </c>
      <c r="C13" s="5" t="n">
        <v>0.4</v>
      </c>
      <c r="D13" s="5" t="inlineStr">
        <is>
          <t>g</t>
        </is>
      </c>
      <c r="E13" s="5" t="n">
        <v>0</v>
      </c>
      <c r="F13" s="6" t="n">
        <v>16</v>
      </c>
      <c r="G13" s="6" t="n">
        <v>0.01</v>
      </c>
      <c r="H13" s="5" t="n">
        <v>0</v>
      </c>
      <c r="I13" s="5" t="n">
        <v>0</v>
      </c>
      <c r="J13" s="5" t="n">
        <v>0</v>
      </c>
      <c r="K13" s="5" t="n">
        <v>0</v>
      </c>
      <c r="L13" s="17" t="inlineStr">
        <is>
          <t>SUPUESTO — a granel</t>
        </is>
      </c>
    </row>
    <row r="14">
      <c r="A14" s="5" t="inlineStr"/>
      <c r="B14" s="5" t="inlineStr">
        <is>
          <t>Bicarbonato de sodio</t>
        </is>
      </c>
      <c r="C14" s="5" t="n">
        <v>0.3</v>
      </c>
      <c r="D14" s="5" t="inlineStr">
        <is>
          <t>g</t>
        </is>
      </c>
      <c r="E14" s="5" t="n">
        <v>0</v>
      </c>
      <c r="F14" s="6" t="n">
        <v>45</v>
      </c>
      <c r="G14" s="6" t="n">
        <v>0.01</v>
      </c>
      <c r="H14" s="5" t="n">
        <v>0</v>
      </c>
      <c r="I14" s="5" t="n">
        <v>0</v>
      </c>
      <c r="J14" s="5" t="n">
        <v>0</v>
      </c>
      <c r="K14" s="5" t="n">
        <v>0</v>
      </c>
      <c r="L14" s="17" t="inlineStr">
        <is>
          <t>SUPUESTO — rango 30-60</t>
        </is>
      </c>
    </row>
    <row r="15">
      <c r="A15" s="9" t="n"/>
      <c r="B15" s="10" t="inlineStr">
        <is>
          <t>Total insumos</t>
        </is>
      </c>
      <c r="C15" s="9" t="n"/>
      <c r="D15" s="9" t="n"/>
      <c r="E15" s="9" t="n"/>
      <c r="F15" s="9" t="n"/>
      <c r="G15" s="18" t="n">
        <v>11.83</v>
      </c>
      <c r="H15" s="9" t="n"/>
      <c r="I15" s="9" t="n"/>
      <c r="J15" s="9" t="n"/>
      <c r="K15" s="9" t="n"/>
      <c r="L15" s="9" t="n"/>
    </row>
    <row r="17">
      <c r="A17" s="14" t="inlineStr">
        <is>
          <t>PS-02</t>
        </is>
      </c>
      <c r="B17" s="15" t="inlineStr">
        <is>
          <t>Raspberry &amp; Pistachio Cookie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>
      <c r="A18" s="5" t="inlineStr"/>
      <c r="B18" s="5" t="inlineStr">
        <is>
          <t>Mezcla de harinas sin gluten COSECHA (sub-receta)</t>
        </is>
      </c>
      <c r="C18" s="5" t="n">
        <v>24</v>
      </c>
      <c r="D18" s="5" t="inlineStr">
        <is>
          <t>g</t>
        </is>
      </c>
      <c r="E18" s="5" t="n">
        <v>0</v>
      </c>
      <c r="F18" s="6" t="n">
        <v>104.35</v>
      </c>
      <c r="G18" s="6" t="n">
        <v>2.5</v>
      </c>
      <c r="H18" s="5" t="n">
        <v>449</v>
      </c>
      <c r="I18" s="5" t="n">
        <v>10.6</v>
      </c>
      <c r="J18" s="5" t="n">
        <v>58.9</v>
      </c>
      <c r="K18" s="5" t="n">
        <v>20.5</v>
      </c>
      <c r="L18" s="17" t="inlineStr">
        <is>
          <t>sub-receta de casa; costo derivado de sus insumos</t>
        </is>
      </c>
    </row>
    <row r="19">
      <c r="A19" s="5" t="inlineStr"/>
      <c r="B19" s="5" t="inlineStr">
        <is>
          <t>Pistacho pelado crudo</t>
        </is>
      </c>
      <c r="C19" s="5" t="n">
        <v>11</v>
      </c>
      <c r="D19" s="5" t="inlineStr">
        <is>
          <t>g</t>
        </is>
      </c>
      <c r="E19" s="5" t="n">
        <v>0</v>
      </c>
      <c r="F19" s="6" t="n">
        <v>850</v>
      </c>
      <c r="G19" s="6" t="n">
        <v>9.35</v>
      </c>
      <c r="H19" s="5" t="n">
        <v>560</v>
      </c>
      <c r="I19" s="5" t="n">
        <v>20.2</v>
      </c>
      <c r="J19" s="5" t="n">
        <v>27.2</v>
      </c>
      <c r="K19" s="5" t="n">
        <v>45.3</v>
      </c>
      <c r="L19" s="17" t="inlineStr">
        <is>
          <t>SUPUESTO — rango 700-1100. NO usar el $28/kg scrapeado: es un dato roto</t>
        </is>
      </c>
    </row>
    <row r="20">
      <c r="A20" s="5" t="inlineStr"/>
      <c r="B20" s="5" t="inlineStr">
        <is>
          <t>Aceite de oliva virgen extra</t>
        </is>
      </c>
      <c r="C20" s="5" t="n">
        <v>9</v>
      </c>
      <c r="D20" s="5" t="inlineStr">
        <is>
          <t>g</t>
        </is>
      </c>
      <c r="E20" s="5" t="n">
        <v>0</v>
      </c>
      <c r="F20" s="6" t="n">
        <v>210</v>
      </c>
      <c r="G20" s="6" t="n">
        <v>1.89</v>
      </c>
      <c r="H20" s="5" t="n">
        <v>884</v>
      </c>
      <c r="I20" s="5" t="n">
        <v>0</v>
      </c>
      <c r="J20" s="5" t="n">
        <v>0</v>
      </c>
      <c r="K20" s="5" t="n">
        <v>100</v>
      </c>
      <c r="L20" s="17" t="inlineStr">
        <is>
          <t>SUPUESTO — rango 180-260/L en lata de 5 L, mayoreo Puebla</t>
        </is>
      </c>
    </row>
    <row r="21">
      <c r="A21" s="5" t="inlineStr"/>
      <c r="B21" s="5" t="inlineStr">
        <is>
          <t>Piloncillo rallado</t>
        </is>
      </c>
      <c r="C21" s="5" t="n">
        <v>9</v>
      </c>
      <c r="D21" s="5" t="inlineStr">
        <is>
          <t>g</t>
        </is>
      </c>
      <c r="E21" s="5" t="n">
        <v>0</v>
      </c>
      <c r="F21" s="6" t="n">
        <v>25</v>
      </c>
      <c r="G21" s="6" t="n">
        <v>0.22</v>
      </c>
      <c r="H21" s="5" t="n">
        <v>380</v>
      </c>
      <c r="I21" s="5" t="n">
        <v>0</v>
      </c>
      <c r="J21" s="5" t="n">
        <v>97</v>
      </c>
      <c r="K21" s="5" t="n">
        <v>0</v>
      </c>
      <c r="L21" s="17" t="inlineStr">
        <is>
          <t>mayoreo.online — caja 18 kg $450</t>
        </is>
      </c>
    </row>
    <row r="22">
      <c r="A22" s="5" t="inlineStr"/>
      <c r="B22" s="5" t="inlineStr">
        <is>
          <t>Pasta de dátil (sub-receta)</t>
        </is>
      </c>
      <c r="C22" s="5" t="n">
        <v>6</v>
      </c>
      <c r="D22" s="5" t="inlineStr">
        <is>
          <t>g</t>
        </is>
      </c>
      <c r="E22" s="5" t="n">
        <v>0</v>
      </c>
      <c r="F22" s="6" t="n">
        <v>140.79</v>
      </c>
      <c r="G22" s="6" t="n">
        <v>0.84</v>
      </c>
      <c r="H22" s="5" t="n">
        <v>204</v>
      </c>
      <c r="I22" s="5" t="n">
        <v>1.3</v>
      </c>
      <c r="J22" s="5" t="n">
        <v>55.3</v>
      </c>
      <c r="K22" s="5" t="n">
        <v>0.2</v>
      </c>
      <c r="L22" s="17" t="inlineStr">
        <is>
          <t>sub-receta de casa</t>
        </is>
      </c>
    </row>
    <row r="23">
      <c r="A23" s="5" t="inlineStr"/>
      <c r="B23" s="5" t="inlineStr">
        <is>
          <t>Huevo de lino (sub-receta)</t>
        </is>
      </c>
      <c r="C23" s="5" t="n">
        <v>6</v>
      </c>
      <c r="D23" s="5" t="inlineStr">
        <is>
          <t>g</t>
        </is>
      </c>
      <c r="E23" s="5" t="n">
        <v>0</v>
      </c>
      <c r="F23" s="6" t="n">
        <v>14.38</v>
      </c>
      <c r="G23" s="6" t="n">
        <v>0.09</v>
      </c>
      <c r="H23" s="5" t="n">
        <v>133.5</v>
      </c>
      <c r="I23" s="5" t="n">
        <v>4.6</v>
      </c>
      <c r="J23" s="5" t="n">
        <v>7.2</v>
      </c>
      <c r="K23" s="5" t="n">
        <v>10.6</v>
      </c>
      <c r="L23" s="17" t="inlineStr">
        <is>
          <t>sub-receta de casa</t>
        </is>
      </c>
    </row>
    <row r="24">
      <c r="A24" s="5" t="inlineStr"/>
      <c r="B24" s="5" t="inlineStr">
        <is>
          <t>Frambuesa liofilizada</t>
        </is>
      </c>
      <c r="C24" s="5" t="n">
        <v>3</v>
      </c>
      <c r="D24" s="5" t="inlineStr">
        <is>
          <t>g</t>
        </is>
      </c>
      <c r="E24" s="5" t="n">
        <v>0</v>
      </c>
      <c r="F24" s="6" t="n">
        <v>1800</v>
      </c>
      <c r="G24" s="6" t="n">
        <v>5.4</v>
      </c>
      <c r="H24" s="5" t="n">
        <v>350</v>
      </c>
      <c r="I24" s="5" t="n">
        <v>7</v>
      </c>
      <c r="J24" s="5" t="n">
        <v>78</v>
      </c>
      <c r="K24" s="5" t="n">
        <v>4</v>
      </c>
      <c r="L24" s="17" t="inlineStr">
        <is>
          <t>SUPUESTO — rango 1200-2500. Es el insumo más caro de la línea</t>
        </is>
      </c>
    </row>
    <row r="25">
      <c r="A25" s="5" t="inlineStr"/>
      <c r="B25" s="5" t="inlineStr">
        <is>
          <t>Extracto de vainilla de Papantla</t>
        </is>
      </c>
      <c r="C25" s="5" t="n">
        <v>0.4</v>
      </c>
      <c r="D25" s="5" t="inlineStr">
        <is>
          <t>g</t>
        </is>
      </c>
      <c r="E25" s="5" t="n">
        <v>0</v>
      </c>
      <c r="F25" s="6" t="n">
        <v>1800</v>
      </c>
      <c r="G25" s="6" t="n">
        <v>0.72</v>
      </c>
      <c r="H25" s="5" t="n">
        <v>288</v>
      </c>
      <c r="I25" s="5" t="n">
        <v>0.1</v>
      </c>
      <c r="J25" s="5" t="n">
        <v>12.7</v>
      </c>
      <c r="K25" s="5" t="n">
        <v>0.1</v>
      </c>
      <c r="L25" s="17" t="inlineStr">
        <is>
          <t>SUPUESTO — rango 1200-3000/L de extracto puro</t>
        </is>
      </c>
    </row>
    <row r="26">
      <c r="A26" s="5" t="inlineStr"/>
      <c r="B26" s="5" t="inlineStr">
        <is>
          <t>Sal fina de mar</t>
        </is>
      </c>
      <c r="C26" s="5" t="n">
        <v>0.4</v>
      </c>
      <c r="D26" s="5" t="inlineStr">
        <is>
          <t>g</t>
        </is>
      </c>
      <c r="E26" s="5" t="n">
        <v>0</v>
      </c>
      <c r="F26" s="6" t="n">
        <v>16</v>
      </c>
      <c r="G26" s="6" t="n">
        <v>0.01</v>
      </c>
      <c r="H26" s="5" t="n">
        <v>0</v>
      </c>
      <c r="I26" s="5" t="n">
        <v>0</v>
      </c>
      <c r="J26" s="5" t="n">
        <v>0</v>
      </c>
      <c r="K26" s="5" t="n">
        <v>0</v>
      </c>
      <c r="L26" s="17" t="inlineStr">
        <is>
          <t>SUPUESTO — a granel</t>
        </is>
      </c>
    </row>
    <row r="27">
      <c r="A27" s="5" t="inlineStr"/>
      <c r="B27" s="5" t="inlineStr">
        <is>
          <t>Bicarbonato de sodio</t>
        </is>
      </c>
      <c r="C27" s="5" t="n">
        <v>0.3</v>
      </c>
      <c r="D27" s="5" t="inlineStr">
        <is>
          <t>g</t>
        </is>
      </c>
      <c r="E27" s="5" t="n">
        <v>0</v>
      </c>
      <c r="F27" s="6" t="n">
        <v>45</v>
      </c>
      <c r="G27" s="6" t="n">
        <v>0.01</v>
      </c>
      <c r="H27" s="5" t="n">
        <v>0</v>
      </c>
      <c r="I27" s="5" t="n">
        <v>0</v>
      </c>
      <c r="J27" s="5" t="n">
        <v>0</v>
      </c>
      <c r="K27" s="5" t="n">
        <v>0</v>
      </c>
      <c r="L27" s="17" t="inlineStr">
        <is>
          <t>SUPUESTO — rango 30-60</t>
        </is>
      </c>
    </row>
    <row r="28">
      <c r="A28" s="9" t="n"/>
      <c r="B28" s="10" t="inlineStr">
        <is>
          <t>Total insumos</t>
        </is>
      </c>
      <c r="C28" s="9" t="n"/>
      <c r="D28" s="9" t="n"/>
      <c r="E28" s="9" t="n"/>
      <c r="F28" s="9" t="n"/>
      <c r="G28" s="18" t="n">
        <v>21.04</v>
      </c>
      <c r="H28" s="9" t="n"/>
      <c r="I28" s="9" t="n"/>
      <c r="J28" s="9" t="n"/>
      <c r="K28" s="9" t="n"/>
      <c r="L28" s="9" t="n"/>
    </row>
    <row r="30">
      <c r="A30" s="14" t="inlineStr">
        <is>
          <t>PS-03</t>
        </is>
      </c>
      <c r="B30" s="15" t="inlineStr">
        <is>
          <t>Banana Bread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5" t="inlineStr"/>
      <c r="B31" s="5" t="inlineStr">
        <is>
          <t>Plátano Tabasco muy maduro</t>
        </is>
      </c>
      <c r="C31" s="5" t="n">
        <v>52</v>
      </c>
      <c r="D31" s="5" t="inlineStr">
        <is>
          <t>g</t>
        </is>
      </c>
      <c r="E31" s="5" t="n">
        <v>35</v>
      </c>
      <c r="F31" s="6" t="n">
        <v>25</v>
      </c>
      <c r="G31" s="6" t="n">
        <v>2</v>
      </c>
      <c r="H31" s="5" t="n">
        <v>89</v>
      </c>
      <c r="I31" s="5" t="n">
        <v>1.1</v>
      </c>
      <c r="J31" s="5" t="n">
        <v>22.8</v>
      </c>
      <c r="K31" s="5" t="n">
        <v>0.3</v>
      </c>
      <c r="L31" s="17" t="inlineStr">
        <is>
          <t>SUPUESTO — rango 18-35 según temporada</t>
        </is>
      </c>
    </row>
    <row r="32">
      <c r="A32" s="5" t="inlineStr"/>
      <c r="B32" s="5" t="inlineStr">
        <is>
          <t>Mezcla de harinas sin gluten COSECHA (sub-receta)</t>
        </is>
      </c>
      <c r="C32" s="5" t="n">
        <v>22</v>
      </c>
      <c r="D32" s="5" t="inlineStr">
        <is>
          <t>g</t>
        </is>
      </c>
      <c r="E32" s="5" t="n">
        <v>0</v>
      </c>
      <c r="F32" s="6" t="n">
        <v>104.35</v>
      </c>
      <c r="G32" s="6" t="n">
        <v>2.3</v>
      </c>
      <c r="H32" s="5" t="n">
        <v>449</v>
      </c>
      <c r="I32" s="5" t="n">
        <v>10.6</v>
      </c>
      <c r="J32" s="5" t="n">
        <v>58.9</v>
      </c>
      <c r="K32" s="5" t="n">
        <v>20.5</v>
      </c>
      <c r="L32" s="17" t="inlineStr">
        <is>
          <t>sub-receta de casa; costo derivado de sus insumos</t>
        </is>
      </c>
    </row>
    <row r="33">
      <c r="A33" s="5" t="inlineStr"/>
      <c r="B33" s="5" t="inlineStr">
        <is>
          <t>Avena en hojuela certificada sin gluten</t>
        </is>
      </c>
      <c r="C33" s="5" t="n">
        <v>9</v>
      </c>
      <c r="D33" s="5" t="inlineStr">
        <is>
          <t>g</t>
        </is>
      </c>
      <c r="E33" s="5" t="n">
        <v>0</v>
      </c>
      <c r="F33" s="6" t="n">
        <v>110</v>
      </c>
      <c r="G33" s="6" t="n">
        <v>0.99</v>
      </c>
      <c r="H33" s="5" t="n">
        <v>389</v>
      </c>
      <c r="I33" s="5" t="n">
        <v>16.9</v>
      </c>
      <c r="J33" s="5" t="n">
        <v>66.3</v>
      </c>
      <c r="K33" s="5" t="n">
        <v>6.9</v>
      </c>
      <c r="L33" s="17" t="inlineStr">
        <is>
          <t>SUPUESTO — la avena normal va a 25-40 pero la CERTIFICADA sin gluten paga premium: rango 90-140</t>
        </is>
      </c>
    </row>
    <row r="34">
      <c r="A34" s="5" t="inlineStr"/>
      <c r="B34" s="5" t="inlineStr">
        <is>
          <t>Aceite de oliva virgen extra</t>
        </is>
      </c>
      <c r="C34" s="5" t="n">
        <v>7</v>
      </c>
      <c r="D34" s="5" t="inlineStr">
        <is>
          <t>g</t>
        </is>
      </c>
      <c r="E34" s="5" t="n">
        <v>0</v>
      </c>
      <c r="F34" s="6" t="n">
        <v>210</v>
      </c>
      <c r="G34" s="6" t="n">
        <v>1.47</v>
      </c>
      <c r="H34" s="5" t="n">
        <v>884</v>
      </c>
      <c r="I34" s="5" t="n">
        <v>0</v>
      </c>
      <c r="J34" s="5" t="n">
        <v>0</v>
      </c>
      <c r="K34" s="5" t="n">
        <v>100</v>
      </c>
      <c r="L34" s="17" t="inlineStr">
        <is>
          <t>SUPUESTO — rango 180-260/L en lata de 5 L, mayoreo Puebla</t>
        </is>
      </c>
    </row>
    <row r="35">
      <c r="A35" s="5" t="inlineStr"/>
      <c r="B35" s="5" t="inlineStr">
        <is>
          <t>Pasta de dátil (sub-receta)</t>
        </is>
      </c>
      <c r="C35" s="5" t="n">
        <v>5</v>
      </c>
      <c r="D35" s="5" t="inlineStr">
        <is>
          <t>g</t>
        </is>
      </c>
      <c r="E35" s="5" t="n">
        <v>0</v>
      </c>
      <c r="F35" s="6" t="n">
        <v>140.79</v>
      </c>
      <c r="G35" s="6" t="n">
        <v>0.7</v>
      </c>
      <c r="H35" s="5" t="n">
        <v>204</v>
      </c>
      <c r="I35" s="5" t="n">
        <v>1.3</v>
      </c>
      <c r="J35" s="5" t="n">
        <v>55.3</v>
      </c>
      <c r="K35" s="5" t="n">
        <v>0.2</v>
      </c>
      <c r="L35" s="17" t="inlineStr">
        <is>
          <t>sub-receta de casa</t>
        </is>
      </c>
    </row>
    <row r="36">
      <c r="A36" s="5" t="inlineStr"/>
      <c r="B36" s="5" t="inlineStr">
        <is>
          <t>Huevo de lino (sub-receta)</t>
        </is>
      </c>
      <c r="C36" s="5" t="n">
        <v>5</v>
      </c>
      <c r="D36" s="5" t="inlineStr">
        <is>
          <t>g</t>
        </is>
      </c>
      <c r="E36" s="5" t="n">
        <v>0</v>
      </c>
      <c r="F36" s="6" t="n">
        <v>14.38</v>
      </c>
      <c r="G36" s="6" t="n">
        <v>0.07000000000000001</v>
      </c>
      <c r="H36" s="5" t="n">
        <v>133.5</v>
      </c>
      <c r="I36" s="5" t="n">
        <v>4.6</v>
      </c>
      <c r="J36" s="5" t="n">
        <v>7.2</v>
      </c>
      <c r="K36" s="5" t="n">
        <v>10.6</v>
      </c>
      <c r="L36" s="17" t="inlineStr">
        <is>
          <t>sub-receta de casa</t>
        </is>
      </c>
    </row>
    <row r="37">
      <c r="A37" s="5" t="inlineStr"/>
      <c r="B37" s="5" t="inlineStr">
        <is>
          <t>Nuez pecana</t>
        </is>
      </c>
      <c r="C37" s="5" t="n">
        <v>6</v>
      </c>
      <c r="D37" s="5" t="inlineStr">
        <is>
          <t>g</t>
        </is>
      </c>
      <c r="E37" s="5" t="n">
        <v>0</v>
      </c>
      <c r="F37" s="6" t="n">
        <v>280</v>
      </c>
      <c r="G37" s="6" t="n">
        <v>1.68</v>
      </c>
      <c r="H37" s="5" t="n">
        <v>691</v>
      </c>
      <c r="I37" s="5" t="n">
        <v>9.199999999999999</v>
      </c>
      <c r="J37" s="5" t="n">
        <v>13.9</v>
      </c>
      <c r="K37" s="5" t="n">
        <v>72</v>
      </c>
      <c r="L37" s="17" t="inlineStr">
        <is>
          <t>js/data.js — ya en almacén de COSECHA</t>
        </is>
      </c>
    </row>
    <row r="38">
      <c r="A38" s="5" t="inlineStr"/>
      <c r="B38" s="5" t="inlineStr">
        <is>
          <t>Cáscara de psyllium en polvo</t>
        </is>
      </c>
      <c r="C38" s="5" t="n">
        <v>1.2</v>
      </c>
      <c r="D38" s="5" t="inlineStr">
        <is>
          <t>g</t>
        </is>
      </c>
      <c r="E38" s="5" t="n">
        <v>0</v>
      </c>
      <c r="F38" s="6" t="n">
        <v>320</v>
      </c>
      <c r="G38" s="6" t="n">
        <v>0.38</v>
      </c>
      <c r="H38" s="5" t="n">
        <v>200</v>
      </c>
      <c r="I38" s="5" t="n">
        <v>1.5</v>
      </c>
      <c r="J38" s="5" t="n">
        <v>88</v>
      </c>
      <c r="K38" s="5" t="n">
        <v>0.5</v>
      </c>
      <c r="L38" s="17" t="inlineStr">
        <is>
          <t>SUPUESTO — rango 250-450</t>
        </is>
      </c>
    </row>
    <row r="39">
      <c r="A39" s="5" t="inlineStr"/>
      <c r="B39" s="5" t="inlineStr">
        <is>
          <t>Mezcla de especias chai molida (canela, jengibre, cardamomo, clavo, pimienta)</t>
        </is>
      </c>
      <c r="C39" s="5" t="n">
        <v>0.6</v>
      </c>
      <c r="D39" s="5" t="inlineStr">
        <is>
          <t>g</t>
        </is>
      </c>
      <c r="E39" s="5" t="n">
        <v>0</v>
      </c>
      <c r="F39" s="6" t="n">
        <v>320</v>
      </c>
      <c r="G39" s="6" t="n">
        <v>0.19</v>
      </c>
      <c r="H39" s="5" t="n">
        <v>250</v>
      </c>
      <c r="I39" s="5" t="n">
        <v>4</v>
      </c>
      <c r="J39" s="5" t="n">
        <v>60</v>
      </c>
      <c r="K39" s="5" t="n">
        <v>3</v>
      </c>
      <c r="L39" s="17" t="inlineStr">
        <is>
          <t>SUPUESTO — rango 200-600 según proporción de cardamomo</t>
        </is>
      </c>
    </row>
    <row r="40">
      <c r="A40" s="5" t="inlineStr"/>
      <c r="B40" s="5" t="inlineStr">
        <is>
          <t>Sal fina de mar</t>
        </is>
      </c>
      <c r="C40" s="5" t="n">
        <v>0.4</v>
      </c>
      <c r="D40" s="5" t="inlineStr">
        <is>
          <t>g</t>
        </is>
      </c>
      <c r="E40" s="5" t="n">
        <v>0</v>
      </c>
      <c r="F40" s="6" t="n">
        <v>16</v>
      </c>
      <c r="G40" s="6" t="n">
        <v>0.01</v>
      </c>
      <c r="H40" s="5" t="n">
        <v>0</v>
      </c>
      <c r="I40" s="5" t="n">
        <v>0</v>
      </c>
      <c r="J40" s="5" t="n">
        <v>0</v>
      </c>
      <c r="K40" s="5" t="n">
        <v>0</v>
      </c>
      <c r="L40" s="17" t="inlineStr">
        <is>
          <t>SUPUESTO — a granel</t>
        </is>
      </c>
    </row>
    <row r="41">
      <c r="A41" s="5" t="inlineStr"/>
      <c r="B41" s="5" t="inlineStr">
        <is>
          <t>Bicarbonato de sodio</t>
        </is>
      </c>
      <c r="C41" s="5" t="n">
        <v>0.5</v>
      </c>
      <c r="D41" s="5" t="inlineStr">
        <is>
          <t>g</t>
        </is>
      </c>
      <c r="E41" s="5" t="n">
        <v>0</v>
      </c>
      <c r="F41" s="6" t="n">
        <v>45</v>
      </c>
      <c r="G41" s="6" t="n">
        <v>0.02</v>
      </c>
      <c r="H41" s="5" t="n">
        <v>0</v>
      </c>
      <c r="I41" s="5" t="n">
        <v>0</v>
      </c>
      <c r="J41" s="5" t="n">
        <v>0</v>
      </c>
      <c r="K41" s="5" t="n">
        <v>0</v>
      </c>
      <c r="L41" s="17" t="inlineStr">
        <is>
          <t>SUPUESTO — rango 30-60</t>
        </is>
      </c>
    </row>
    <row r="42">
      <c r="A42" s="9" t="n"/>
      <c r="B42" s="10" t="inlineStr">
        <is>
          <t>Total insumos</t>
        </is>
      </c>
      <c r="C42" s="9" t="n"/>
      <c r="D42" s="9" t="n"/>
      <c r="E42" s="9" t="n"/>
      <c r="F42" s="9" t="n"/>
      <c r="G42" s="18" t="n">
        <v>9.82</v>
      </c>
      <c r="H42" s="9" t="n"/>
      <c r="I42" s="9" t="n"/>
      <c r="J42" s="9" t="n"/>
      <c r="K42" s="9" t="n"/>
      <c r="L42" s="9" t="n"/>
    </row>
    <row r="44">
      <c r="A44" s="14" t="inlineStr">
        <is>
          <t>PS-04</t>
        </is>
      </c>
      <c r="B44" s="15" t="inlineStr">
        <is>
          <t>Carrot Chai Cake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  <row r="45">
      <c r="A45" s="5" t="inlineStr"/>
      <c r="B45" s="5" t="inlineStr">
        <is>
          <t>Zanahoria</t>
        </is>
      </c>
      <c r="C45" s="5" t="n">
        <v>45</v>
      </c>
      <c r="D45" s="5" t="inlineStr">
        <is>
          <t>g</t>
        </is>
      </c>
      <c r="E45" s="5" t="n">
        <v>20</v>
      </c>
      <c r="F45" s="6" t="n">
        <v>18</v>
      </c>
      <c r="G45" s="6" t="n">
        <v>1.01</v>
      </c>
      <c r="H45" s="5" t="n">
        <v>41</v>
      </c>
      <c r="I45" s="5" t="n">
        <v>0.9</v>
      </c>
      <c r="J45" s="5" t="n">
        <v>9.6</v>
      </c>
      <c r="K45" s="5" t="n">
        <v>0.2</v>
      </c>
      <c r="L45" s="17" t="inlineStr">
        <is>
          <t>SUPUESTO — rango 12-25. Zanahoria AMARILLA no se consigue en Puebla: se usa naranja</t>
        </is>
      </c>
    </row>
    <row r="46">
      <c r="A46" s="5" t="inlineStr"/>
      <c r="B46" s="5" t="inlineStr">
        <is>
          <t>Mezcla de harinas sin gluten COSECHA (sub-receta)</t>
        </is>
      </c>
      <c r="C46" s="5" t="n">
        <v>26</v>
      </c>
      <c r="D46" s="5" t="inlineStr">
        <is>
          <t>g</t>
        </is>
      </c>
      <c r="E46" s="5" t="n">
        <v>0</v>
      </c>
      <c r="F46" s="6" t="n">
        <v>104.35</v>
      </c>
      <c r="G46" s="6" t="n">
        <v>2.71</v>
      </c>
      <c r="H46" s="5" t="n">
        <v>449</v>
      </c>
      <c r="I46" s="5" t="n">
        <v>10.6</v>
      </c>
      <c r="J46" s="5" t="n">
        <v>58.9</v>
      </c>
      <c r="K46" s="5" t="n">
        <v>20.5</v>
      </c>
      <c r="L46" s="17" t="inlineStr">
        <is>
          <t>sub-receta de casa; costo derivado de sus insumos</t>
        </is>
      </c>
    </row>
    <row r="47">
      <c r="A47" s="5" t="inlineStr"/>
      <c r="B47" s="5" t="inlineStr">
        <is>
          <t>Aceite de oliva virgen extra</t>
        </is>
      </c>
      <c r="C47" s="5" t="n">
        <v>9</v>
      </c>
      <c r="D47" s="5" t="inlineStr">
        <is>
          <t>g</t>
        </is>
      </c>
      <c r="E47" s="5" t="n">
        <v>0</v>
      </c>
      <c r="F47" s="6" t="n">
        <v>210</v>
      </c>
      <c r="G47" s="6" t="n">
        <v>1.89</v>
      </c>
      <c r="H47" s="5" t="n">
        <v>884</v>
      </c>
      <c r="I47" s="5" t="n">
        <v>0</v>
      </c>
      <c r="J47" s="5" t="n">
        <v>0</v>
      </c>
      <c r="K47" s="5" t="n">
        <v>100</v>
      </c>
      <c r="L47" s="17" t="inlineStr">
        <is>
          <t>SUPUESTO — rango 180-260/L en lata de 5 L, mayoreo Puebla</t>
        </is>
      </c>
    </row>
    <row r="48">
      <c r="A48" s="5" t="inlineStr"/>
      <c r="B48" s="5" t="inlineStr">
        <is>
          <t>Pasta de dátil (sub-receta)</t>
        </is>
      </c>
      <c r="C48" s="5" t="n">
        <v>9</v>
      </c>
      <c r="D48" s="5" t="inlineStr">
        <is>
          <t>g</t>
        </is>
      </c>
      <c r="E48" s="5" t="n">
        <v>0</v>
      </c>
      <c r="F48" s="6" t="n">
        <v>140.79</v>
      </c>
      <c r="G48" s="6" t="n">
        <v>1.27</v>
      </c>
      <c r="H48" s="5" t="n">
        <v>204</v>
      </c>
      <c r="I48" s="5" t="n">
        <v>1.3</v>
      </c>
      <c r="J48" s="5" t="n">
        <v>55.3</v>
      </c>
      <c r="K48" s="5" t="n">
        <v>0.2</v>
      </c>
      <c r="L48" s="17" t="inlineStr">
        <is>
          <t>sub-receta de casa</t>
        </is>
      </c>
    </row>
    <row r="49">
      <c r="A49" s="5" t="inlineStr"/>
      <c r="B49" s="5" t="inlineStr">
        <is>
          <t>Piloncillo rallado</t>
        </is>
      </c>
      <c r="C49" s="5" t="n">
        <v>6</v>
      </c>
      <c r="D49" s="5" t="inlineStr">
        <is>
          <t>g</t>
        </is>
      </c>
      <c r="E49" s="5" t="n">
        <v>0</v>
      </c>
      <c r="F49" s="6" t="n">
        <v>25</v>
      </c>
      <c r="G49" s="6" t="n">
        <v>0.15</v>
      </c>
      <c r="H49" s="5" t="n">
        <v>380</v>
      </c>
      <c r="I49" s="5" t="n">
        <v>0</v>
      </c>
      <c r="J49" s="5" t="n">
        <v>97</v>
      </c>
      <c r="K49" s="5" t="n">
        <v>0</v>
      </c>
      <c r="L49" s="17" t="inlineStr">
        <is>
          <t>mayoreo.online — caja 18 kg $450</t>
        </is>
      </c>
    </row>
    <row r="50">
      <c r="A50" s="5" t="inlineStr"/>
      <c r="B50" s="5" t="inlineStr">
        <is>
          <t>Huevo de lino (sub-receta)</t>
        </is>
      </c>
      <c r="C50" s="5" t="n">
        <v>6</v>
      </c>
      <c r="D50" s="5" t="inlineStr">
        <is>
          <t>g</t>
        </is>
      </c>
      <c r="E50" s="5" t="n">
        <v>0</v>
      </c>
      <c r="F50" s="6" t="n">
        <v>14.38</v>
      </c>
      <c r="G50" s="6" t="n">
        <v>0.09</v>
      </c>
      <c r="H50" s="5" t="n">
        <v>133.5</v>
      </c>
      <c r="I50" s="5" t="n">
        <v>4.6</v>
      </c>
      <c r="J50" s="5" t="n">
        <v>7.2</v>
      </c>
      <c r="K50" s="5" t="n">
        <v>10.6</v>
      </c>
      <c r="L50" s="17" t="inlineStr">
        <is>
          <t>sub-receta de casa</t>
        </is>
      </c>
    </row>
    <row r="51">
      <c r="A51" s="5" t="inlineStr"/>
      <c r="B51" s="5" t="inlineStr">
        <is>
          <t>Nuez pecana</t>
        </is>
      </c>
      <c r="C51" s="5" t="n">
        <v>7</v>
      </c>
      <c r="D51" s="5" t="inlineStr">
        <is>
          <t>g</t>
        </is>
      </c>
      <c r="E51" s="5" t="n">
        <v>0</v>
      </c>
      <c r="F51" s="6" t="n">
        <v>280</v>
      </c>
      <c r="G51" s="6" t="n">
        <v>1.96</v>
      </c>
      <c r="H51" s="5" t="n">
        <v>691</v>
      </c>
      <c r="I51" s="5" t="n">
        <v>9.199999999999999</v>
      </c>
      <c r="J51" s="5" t="n">
        <v>13.9</v>
      </c>
      <c r="K51" s="5" t="n">
        <v>72</v>
      </c>
      <c r="L51" s="17" t="inlineStr">
        <is>
          <t>js/data.js — ya en almacén de COSECHA</t>
        </is>
      </c>
    </row>
    <row r="52">
      <c r="A52" s="5" t="inlineStr"/>
      <c r="B52" s="5" t="inlineStr">
        <is>
          <t>Anacardo crudo</t>
        </is>
      </c>
      <c r="C52" s="5" t="n">
        <v>10</v>
      </c>
      <c r="D52" s="5" t="inlineStr">
        <is>
          <t>g</t>
        </is>
      </c>
      <c r="E52" s="5" t="n">
        <v>0</v>
      </c>
      <c r="F52" s="6" t="n">
        <v>340</v>
      </c>
      <c r="G52" s="6" t="n">
        <v>3.4</v>
      </c>
      <c r="H52" s="5" t="n">
        <v>553</v>
      </c>
      <c r="I52" s="5" t="n">
        <v>18.2</v>
      </c>
      <c r="J52" s="5" t="n">
        <v>30.2</v>
      </c>
      <c r="K52" s="5" t="n">
        <v>43.8</v>
      </c>
      <c r="L52" s="17" t="inlineStr">
        <is>
          <t>SUPUESTO — rango 280-450</t>
        </is>
      </c>
    </row>
    <row r="53">
      <c r="A53" s="5" t="inlineStr"/>
      <c r="B53" s="5" t="inlineStr">
        <is>
          <t>Agua purificada</t>
        </is>
      </c>
      <c r="C53" s="5" t="n">
        <v>6</v>
      </c>
      <c r="D53" s="5" t="inlineStr">
        <is>
          <t>g</t>
        </is>
      </c>
      <c r="E53" s="5" t="n">
        <v>0</v>
      </c>
      <c r="F53" s="6" t="n">
        <v>2.5</v>
      </c>
      <c r="G53" s="6" t="n">
        <v>0.01</v>
      </c>
      <c r="H53" s="5" t="n">
        <v>0</v>
      </c>
      <c r="I53" s="5" t="n">
        <v>0</v>
      </c>
      <c r="J53" s="5" t="n">
        <v>0</v>
      </c>
      <c r="K53" s="5" t="n">
        <v>0</v>
      </c>
      <c r="L53" s="17" t="inlineStr">
        <is>
          <t>precio único de casa: garrafón 20 L a 50 MXN</t>
        </is>
      </c>
    </row>
    <row r="54">
      <c r="A54" s="5" t="inlineStr"/>
      <c r="B54" s="5" t="inlineStr">
        <is>
          <t>Pepita verde sin cáscara</t>
        </is>
      </c>
      <c r="C54" s="5" t="n">
        <v>4</v>
      </c>
      <c r="D54" s="5" t="inlineStr">
        <is>
          <t>g</t>
        </is>
      </c>
      <c r="E54" s="5" t="n">
        <v>0</v>
      </c>
      <c r="F54" s="6" t="n">
        <v>260</v>
      </c>
      <c r="G54" s="6" t="n">
        <v>1.04</v>
      </c>
      <c r="H54" s="5" t="n">
        <v>559</v>
      </c>
      <c r="I54" s="5" t="n">
        <v>30.2</v>
      </c>
      <c r="J54" s="5" t="n">
        <v>10.7</v>
      </c>
      <c r="K54" s="5" t="n">
        <v>49</v>
      </c>
      <c r="L54" s="17" t="inlineStr">
        <is>
          <t>SUPUESTO — rango 220-320</t>
        </is>
      </c>
    </row>
    <row r="55">
      <c r="A55" s="5" t="inlineStr"/>
      <c r="B55" s="5" t="inlineStr">
        <is>
          <t>Nibs de cacao tostados</t>
        </is>
      </c>
      <c r="C55" s="5" t="n">
        <v>3</v>
      </c>
      <c r="D55" s="5" t="inlineStr">
        <is>
          <t>g</t>
        </is>
      </c>
      <c r="E55" s="5" t="n">
        <v>0</v>
      </c>
      <c r="F55" s="6" t="n">
        <v>350</v>
      </c>
      <c r="G55" s="6" t="n">
        <v>1.05</v>
      </c>
      <c r="H55" s="5" t="n">
        <v>465</v>
      </c>
      <c r="I55" s="5" t="n">
        <v>10.7</v>
      </c>
      <c r="J55" s="5" t="n">
        <v>8.699999999999999</v>
      </c>
      <c r="K55" s="5" t="n">
        <v>43</v>
      </c>
      <c r="L55" s="17" t="inlineStr">
        <is>
          <t>SUPUESTO — rango 300-420, nib mexicano de Tabasco/Chiapas</t>
        </is>
      </c>
    </row>
    <row r="56">
      <c r="A56" s="5" t="inlineStr"/>
      <c r="B56" s="5" t="inlineStr">
        <is>
          <t>Mezcla de especias chai molida (canela, jengibre, cardamomo, clavo, pimienta)</t>
        </is>
      </c>
      <c r="C56" s="5" t="n">
        <v>1.5</v>
      </c>
      <c r="D56" s="5" t="inlineStr">
        <is>
          <t>g</t>
        </is>
      </c>
      <c r="E56" s="5" t="n">
        <v>0</v>
      </c>
      <c r="F56" s="6" t="n">
        <v>320</v>
      </c>
      <c r="G56" s="6" t="n">
        <v>0.48</v>
      </c>
      <c r="H56" s="5" t="n">
        <v>250</v>
      </c>
      <c r="I56" s="5" t="n">
        <v>4</v>
      </c>
      <c r="J56" s="5" t="n">
        <v>60</v>
      </c>
      <c r="K56" s="5" t="n">
        <v>3</v>
      </c>
      <c r="L56" s="17" t="inlineStr">
        <is>
          <t>SUPUESTO — rango 200-600 según proporción de cardamomo</t>
        </is>
      </c>
    </row>
    <row r="57">
      <c r="A57" s="5" t="inlineStr"/>
      <c r="B57" s="5" t="inlineStr">
        <is>
          <t>Extracto de vainilla de Papantla</t>
        </is>
      </c>
      <c r="C57" s="5" t="n">
        <v>0.5</v>
      </c>
      <c r="D57" s="5" t="inlineStr">
        <is>
          <t>g</t>
        </is>
      </c>
      <c r="E57" s="5" t="n">
        <v>0</v>
      </c>
      <c r="F57" s="6" t="n">
        <v>1800</v>
      </c>
      <c r="G57" s="6" t="n">
        <v>0.9</v>
      </c>
      <c r="H57" s="5" t="n">
        <v>288</v>
      </c>
      <c r="I57" s="5" t="n">
        <v>0.1</v>
      </c>
      <c r="J57" s="5" t="n">
        <v>12.7</v>
      </c>
      <c r="K57" s="5" t="n">
        <v>0.1</v>
      </c>
      <c r="L57" s="17" t="inlineStr">
        <is>
          <t>SUPUESTO — rango 1200-3000/L de extracto puro</t>
        </is>
      </c>
    </row>
    <row r="58">
      <c r="A58" s="5" t="inlineStr"/>
      <c r="B58" s="5" t="inlineStr">
        <is>
          <t>Sal fina de mar</t>
        </is>
      </c>
      <c r="C58" s="5" t="n">
        <v>0.5</v>
      </c>
      <c r="D58" s="5" t="inlineStr">
        <is>
          <t>g</t>
        </is>
      </c>
      <c r="E58" s="5" t="n">
        <v>0</v>
      </c>
      <c r="F58" s="6" t="n">
        <v>16</v>
      </c>
      <c r="G58" s="6" t="n">
        <v>0.01</v>
      </c>
      <c r="H58" s="5" t="n">
        <v>0</v>
      </c>
      <c r="I58" s="5" t="n">
        <v>0</v>
      </c>
      <c r="J58" s="5" t="n">
        <v>0</v>
      </c>
      <c r="K58" s="5" t="n">
        <v>0</v>
      </c>
      <c r="L58" s="17" t="inlineStr">
        <is>
          <t>SUPUESTO — a granel</t>
        </is>
      </c>
    </row>
    <row r="59">
      <c r="A59" s="5" t="inlineStr"/>
      <c r="B59" s="5" t="inlineStr">
        <is>
          <t>Bicarbonato de sodio</t>
        </is>
      </c>
      <c r="C59" s="5" t="n">
        <v>0.5</v>
      </c>
      <c r="D59" s="5" t="inlineStr">
        <is>
          <t>g</t>
        </is>
      </c>
      <c r="E59" s="5" t="n">
        <v>0</v>
      </c>
      <c r="F59" s="6" t="n">
        <v>45</v>
      </c>
      <c r="G59" s="6" t="n">
        <v>0.02</v>
      </c>
      <c r="H59" s="5" t="n">
        <v>0</v>
      </c>
      <c r="I59" s="5" t="n">
        <v>0</v>
      </c>
      <c r="J59" s="5" t="n">
        <v>0</v>
      </c>
      <c r="K59" s="5" t="n">
        <v>0</v>
      </c>
      <c r="L59" s="17" t="inlineStr">
        <is>
          <t>SUPUESTO — rango 30-60</t>
        </is>
      </c>
    </row>
    <row r="60">
      <c r="A60" s="9" t="n"/>
      <c r="B60" s="10" t="inlineStr">
        <is>
          <t>Total insumos</t>
        </is>
      </c>
      <c r="C60" s="9" t="n"/>
      <c r="D60" s="9" t="n"/>
      <c r="E60" s="9" t="n"/>
      <c r="F60" s="9" t="n"/>
      <c r="G60" s="18" t="n">
        <v>15.99</v>
      </c>
      <c r="H60" s="9" t="n"/>
      <c r="I60" s="9" t="n"/>
      <c r="J60" s="9" t="n"/>
      <c r="K60" s="9" t="n"/>
      <c r="L60" s="9" t="n"/>
    </row>
    <row r="62">
      <c r="A62" s="14" t="inlineStr">
        <is>
          <t>PS-05</t>
        </is>
      </c>
      <c r="B62" s="15" t="inlineStr">
        <is>
          <t>Marbled Chocolate &amp; Tahini Cake</t>
        </is>
      </c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</row>
    <row r="63">
      <c r="A63" s="5" t="inlineStr"/>
      <c r="B63" s="5" t="inlineStr">
        <is>
          <t>Mezcla de harinas sin gluten COSECHA (sub-receta)</t>
        </is>
      </c>
      <c r="C63" s="5" t="n">
        <v>30</v>
      </c>
      <c r="D63" s="5" t="inlineStr">
        <is>
          <t>g</t>
        </is>
      </c>
      <c r="E63" s="5" t="n">
        <v>0</v>
      </c>
      <c r="F63" s="6" t="n">
        <v>104.35</v>
      </c>
      <c r="G63" s="6" t="n">
        <v>3.13</v>
      </c>
      <c r="H63" s="5" t="n">
        <v>449</v>
      </c>
      <c r="I63" s="5" t="n">
        <v>10.6</v>
      </c>
      <c r="J63" s="5" t="n">
        <v>58.9</v>
      </c>
      <c r="K63" s="5" t="n">
        <v>20.5</v>
      </c>
      <c r="L63" s="17" t="inlineStr">
        <is>
          <t>sub-receta de casa; costo derivado de sus insumos</t>
        </is>
      </c>
    </row>
    <row r="64">
      <c r="A64" s="5" t="inlineStr"/>
      <c r="B64" s="5" t="inlineStr">
        <is>
          <t>Tahini (pasta de ajonjolí)</t>
        </is>
      </c>
      <c r="C64" s="5" t="n">
        <v>14</v>
      </c>
      <c r="D64" s="5" t="inlineStr">
        <is>
          <t>g</t>
        </is>
      </c>
      <c r="E64" s="5" t="n">
        <v>0</v>
      </c>
      <c r="F64" s="6" t="n">
        <v>250</v>
      </c>
      <c r="G64" s="6" t="n">
        <v>3.5</v>
      </c>
      <c r="H64" s="5" t="n">
        <v>595</v>
      </c>
      <c r="I64" s="5" t="n">
        <v>17</v>
      </c>
      <c r="J64" s="5" t="n">
        <v>21.2</v>
      </c>
      <c r="K64" s="5" t="n">
        <v>53.8</v>
      </c>
      <c r="L64" s="17" t="inlineStr">
        <is>
          <t>SUPUESTO — rango 180-320. El ajonjolí en semilla va a 11-30/kg: molerlo en casa baja el costo a ~60/kg si hay molino</t>
        </is>
      </c>
    </row>
    <row r="65">
      <c r="A65" s="5" t="inlineStr"/>
      <c r="B65" s="5" t="inlineStr">
        <is>
          <t>Cacao en polvo natural sin azúcar</t>
        </is>
      </c>
      <c r="C65" s="5" t="n">
        <v>7</v>
      </c>
      <c r="D65" s="5" t="inlineStr">
        <is>
          <t>g</t>
        </is>
      </c>
      <c r="E65" s="5" t="n">
        <v>0</v>
      </c>
      <c r="F65" s="6" t="n">
        <v>240</v>
      </c>
      <c r="G65" s="6" t="n">
        <v>1.68</v>
      </c>
      <c r="H65" s="5" t="n">
        <v>228</v>
      </c>
      <c r="I65" s="5" t="n">
        <v>19.6</v>
      </c>
      <c r="J65" s="5" t="n">
        <v>57.9</v>
      </c>
      <c r="K65" s="5" t="n">
        <v>13.7</v>
      </c>
      <c r="L65" s="17" t="inlineStr">
        <is>
          <t>SUPUESTO — rango 180-300 a granel</t>
        </is>
      </c>
    </row>
    <row r="66">
      <c r="A66" s="5" t="inlineStr"/>
      <c r="B66" s="5" t="inlineStr">
        <is>
          <t>Aceite de oliva virgen extra</t>
        </is>
      </c>
      <c r="C66" s="5" t="n">
        <v>8</v>
      </c>
      <c r="D66" s="5" t="inlineStr">
        <is>
          <t>g</t>
        </is>
      </c>
      <c r="E66" s="5" t="n">
        <v>0</v>
      </c>
      <c r="F66" s="6" t="n">
        <v>210</v>
      </c>
      <c r="G66" s="6" t="n">
        <v>1.68</v>
      </c>
      <c r="H66" s="5" t="n">
        <v>884</v>
      </c>
      <c r="I66" s="5" t="n">
        <v>0</v>
      </c>
      <c r="J66" s="5" t="n">
        <v>0</v>
      </c>
      <c r="K66" s="5" t="n">
        <v>100</v>
      </c>
      <c r="L66" s="17" t="inlineStr">
        <is>
          <t>SUPUESTO — rango 180-260/L en lata de 5 L, mayoreo Puebla</t>
        </is>
      </c>
    </row>
    <row r="67">
      <c r="A67" s="5" t="inlineStr"/>
      <c r="B67" s="5" t="inlineStr">
        <is>
          <t>Pasta de dátil (sub-receta)</t>
        </is>
      </c>
      <c r="C67" s="5" t="n">
        <v>10</v>
      </c>
      <c r="D67" s="5" t="inlineStr">
        <is>
          <t>g</t>
        </is>
      </c>
      <c r="E67" s="5" t="n">
        <v>0</v>
      </c>
      <c r="F67" s="6" t="n">
        <v>140.79</v>
      </c>
      <c r="G67" s="6" t="n">
        <v>1.41</v>
      </c>
      <c r="H67" s="5" t="n">
        <v>204</v>
      </c>
      <c r="I67" s="5" t="n">
        <v>1.3</v>
      </c>
      <c r="J67" s="5" t="n">
        <v>55.3</v>
      </c>
      <c r="K67" s="5" t="n">
        <v>0.2</v>
      </c>
      <c r="L67" s="17" t="inlineStr">
        <is>
          <t>sub-receta de casa</t>
        </is>
      </c>
    </row>
    <row r="68">
      <c r="A68" s="5" t="inlineStr"/>
      <c r="B68" s="5" t="inlineStr">
        <is>
          <t>Piloncillo rallado</t>
        </is>
      </c>
      <c r="C68" s="5" t="n">
        <v>6</v>
      </c>
      <c r="D68" s="5" t="inlineStr">
        <is>
          <t>g</t>
        </is>
      </c>
      <c r="E68" s="5" t="n">
        <v>0</v>
      </c>
      <c r="F68" s="6" t="n">
        <v>25</v>
      </c>
      <c r="G68" s="6" t="n">
        <v>0.15</v>
      </c>
      <c r="H68" s="5" t="n">
        <v>380</v>
      </c>
      <c r="I68" s="5" t="n">
        <v>0</v>
      </c>
      <c r="J68" s="5" t="n">
        <v>97</v>
      </c>
      <c r="K68" s="5" t="n">
        <v>0</v>
      </c>
      <c r="L68" s="17" t="inlineStr">
        <is>
          <t>mayoreo.online — caja 18 kg $450</t>
        </is>
      </c>
    </row>
    <row r="69">
      <c r="A69" s="5" t="inlineStr"/>
      <c r="B69" s="5" t="inlineStr">
        <is>
          <t>Huevo de lino (sub-receta)</t>
        </is>
      </c>
      <c r="C69" s="5" t="n">
        <v>7</v>
      </c>
      <c r="D69" s="5" t="inlineStr">
        <is>
          <t>g</t>
        </is>
      </c>
      <c r="E69" s="5" t="n">
        <v>0</v>
      </c>
      <c r="F69" s="6" t="n">
        <v>14.38</v>
      </c>
      <c r="G69" s="6" t="n">
        <v>0.1</v>
      </c>
      <c r="H69" s="5" t="n">
        <v>133.5</v>
      </c>
      <c r="I69" s="5" t="n">
        <v>4.6</v>
      </c>
      <c r="J69" s="5" t="n">
        <v>7.2</v>
      </c>
      <c r="K69" s="5" t="n">
        <v>10.6</v>
      </c>
      <c r="L69" s="17" t="inlineStr">
        <is>
          <t>sub-receta de casa</t>
        </is>
      </c>
    </row>
    <row r="70">
      <c r="A70" s="5" t="inlineStr"/>
      <c r="B70" s="5" t="inlineStr">
        <is>
          <t>Anacardo crudo</t>
        </is>
      </c>
      <c r="C70" s="5" t="n">
        <v>6</v>
      </c>
      <c r="D70" s="5" t="inlineStr">
        <is>
          <t>g</t>
        </is>
      </c>
      <c r="E70" s="5" t="n">
        <v>0</v>
      </c>
      <c r="F70" s="6" t="n">
        <v>340</v>
      </c>
      <c r="G70" s="6" t="n">
        <v>2.04</v>
      </c>
      <c r="H70" s="5" t="n">
        <v>553</v>
      </c>
      <c r="I70" s="5" t="n">
        <v>18.2</v>
      </c>
      <c r="J70" s="5" t="n">
        <v>30.2</v>
      </c>
      <c r="K70" s="5" t="n">
        <v>43.8</v>
      </c>
      <c r="L70" s="17" t="inlineStr">
        <is>
          <t>SUPUESTO — rango 280-450</t>
        </is>
      </c>
    </row>
    <row r="71">
      <c r="A71" s="5" t="inlineStr"/>
      <c r="B71" s="5" t="inlineStr">
        <is>
          <t>Café de especialidad molido (el de la casa)</t>
        </is>
      </c>
      <c r="C71" s="5" t="n">
        <v>1.2</v>
      </c>
      <c r="D71" s="5" t="inlineStr">
        <is>
          <t>g</t>
        </is>
      </c>
      <c r="E71" s="5" t="n">
        <v>0</v>
      </c>
      <c r="F71" s="6" t="n">
        <v>380</v>
      </c>
      <c r="G71" s="6" t="n">
        <v>0.46</v>
      </c>
      <c r="H71" s="5" t="n">
        <v>0</v>
      </c>
      <c r="I71" s="5" t="n">
        <v>0</v>
      </c>
      <c r="J71" s="5" t="n">
        <v>0</v>
      </c>
      <c r="K71" s="5" t="n">
        <v>0</v>
      </c>
      <c r="L71" s="17" t="inlineStr">
        <is>
          <t>SUPUESTO — mismo grano que la barra BE-07 a BE-14: sinergia de almacén</t>
        </is>
      </c>
    </row>
    <row r="72">
      <c r="A72" s="5" t="inlineStr"/>
      <c r="B72" s="5" t="inlineStr">
        <is>
          <t>Agua purificada</t>
        </is>
      </c>
      <c r="C72" s="5" t="n">
        <v>5</v>
      </c>
      <c r="D72" s="5" t="inlineStr">
        <is>
          <t>g</t>
        </is>
      </c>
      <c r="E72" s="5" t="n">
        <v>0</v>
      </c>
      <c r="F72" s="6" t="n">
        <v>2.5</v>
      </c>
      <c r="G72" s="6" t="n">
        <v>0.01</v>
      </c>
      <c r="H72" s="5" t="n">
        <v>0</v>
      </c>
      <c r="I72" s="5" t="n">
        <v>0</v>
      </c>
      <c r="J72" s="5" t="n">
        <v>0</v>
      </c>
      <c r="K72" s="5" t="n">
        <v>0</v>
      </c>
      <c r="L72" s="17" t="inlineStr">
        <is>
          <t>precio único de casa: garrafón 20 L a 50 MXN</t>
        </is>
      </c>
    </row>
    <row r="73">
      <c r="A73" s="5" t="inlineStr"/>
      <c r="B73" s="5" t="inlineStr">
        <is>
          <t>Frambuesa liofilizada</t>
        </is>
      </c>
      <c r="C73" s="5" t="n">
        <v>2</v>
      </c>
      <c r="D73" s="5" t="inlineStr">
        <is>
          <t>g</t>
        </is>
      </c>
      <c r="E73" s="5" t="n">
        <v>0</v>
      </c>
      <c r="F73" s="6" t="n">
        <v>1800</v>
      </c>
      <c r="G73" s="6" t="n">
        <v>3.6</v>
      </c>
      <c r="H73" s="5" t="n">
        <v>350</v>
      </c>
      <c r="I73" s="5" t="n">
        <v>7</v>
      </c>
      <c r="J73" s="5" t="n">
        <v>78</v>
      </c>
      <c r="K73" s="5" t="n">
        <v>4</v>
      </c>
      <c r="L73" s="17" t="inlineStr">
        <is>
          <t>SUPUESTO — rango 1200-2500. Es el insumo más caro de la línea</t>
        </is>
      </c>
    </row>
    <row r="74">
      <c r="A74" s="5" t="inlineStr"/>
      <c r="B74" s="5" t="inlineStr">
        <is>
          <t>Sal fina de mar</t>
        </is>
      </c>
      <c r="C74" s="5" t="n">
        <v>0.5</v>
      </c>
      <c r="D74" s="5" t="inlineStr">
        <is>
          <t>g</t>
        </is>
      </c>
      <c r="E74" s="5" t="n">
        <v>0</v>
      </c>
      <c r="F74" s="6" t="n">
        <v>16</v>
      </c>
      <c r="G74" s="6" t="n">
        <v>0.01</v>
      </c>
      <c r="H74" s="5" t="n">
        <v>0</v>
      </c>
      <c r="I74" s="5" t="n">
        <v>0</v>
      </c>
      <c r="J74" s="5" t="n">
        <v>0</v>
      </c>
      <c r="K74" s="5" t="n">
        <v>0</v>
      </c>
      <c r="L74" s="17" t="inlineStr">
        <is>
          <t>SUPUESTO — a granel</t>
        </is>
      </c>
    </row>
    <row r="75">
      <c r="A75" s="5" t="inlineStr"/>
      <c r="B75" s="5" t="inlineStr">
        <is>
          <t>Bicarbonato de sodio</t>
        </is>
      </c>
      <c r="C75" s="5" t="n">
        <v>0.5</v>
      </c>
      <c r="D75" s="5" t="inlineStr">
        <is>
          <t>g</t>
        </is>
      </c>
      <c r="E75" s="5" t="n">
        <v>0</v>
      </c>
      <c r="F75" s="6" t="n">
        <v>45</v>
      </c>
      <c r="G75" s="6" t="n">
        <v>0.02</v>
      </c>
      <c r="H75" s="5" t="n">
        <v>0</v>
      </c>
      <c r="I75" s="5" t="n">
        <v>0</v>
      </c>
      <c r="J75" s="5" t="n">
        <v>0</v>
      </c>
      <c r="K75" s="5" t="n">
        <v>0</v>
      </c>
      <c r="L75" s="17" t="inlineStr">
        <is>
          <t>SUPUESTO — rango 30-60</t>
        </is>
      </c>
    </row>
    <row r="76">
      <c r="A76" s="9" t="n"/>
      <c r="B76" s="10" t="inlineStr">
        <is>
          <t>Total insumos</t>
        </is>
      </c>
      <c r="C76" s="9" t="n"/>
      <c r="D76" s="9" t="n"/>
      <c r="E76" s="9" t="n"/>
      <c r="F76" s="9" t="n"/>
      <c r="G76" s="18" t="n">
        <v>17.79</v>
      </c>
      <c r="H76" s="9" t="n"/>
      <c r="I76" s="9" t="n"/>
      <c r="J76" s="9" t="n"/>
      <c r="K76" s="9" t="n"/>
      <c r="L7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0" customWidth="1" min="3" max="3"/>
    <col width="26" customWidth="1" min="4" max="4"/>
    <col width="17" customWidth="1" min="5" max="5"/>
    <col width="40" customWidth="1" min="6" max="6"/>
    <col width="10" customWidth="1" min="7" max="7"/>
    <col width="8" customWidth="1" min="8" max="8"/>
    <col width="9" customWidth="1" min="9" max="9"/>
    <col width="14" customWidth="1" min="10" max="10"/>
    <col width="12" customWidth="1" min="11" max="11"/>
  </cols>
  <sheetData>
    <row r="1">
      <c r="A1" s="13" t="inlineStr">
        <is>
          <t>Sub-recetas — costeo por lote</t>
        </is>
      </c>
    </row>
    <row r="2">
      <c r="A2" s="2" t="inlineStr">
        <is>
          <t>Entran al escandallo de la pieza como UNA línea con su costo por kg ya repercutido: no se cuentan dos veces.</t>
        </is>
      </c>
    </row>
    <row r="4" ht="30" customHeight="1">
      <c r="A4" s="3" t="inlineStr">
        <is>
          <t>Usada en</t>
        </is>
      </c>
      <c r="B4" s="3" t="inlineStr">
        <is>
          <t>Sub-receta</t>
        </is>
      </c>
      <c r="C4" s="3" t="inlineStr">
        <is>
          <t>Rendimiento</t>
        </is>
      </c>
      <c r="D4" s="3" t="inlineStr">
        <is>
          <t>Vida útil</t>
        </is>
      </c>
      <c r="E4" s="3" t="inlineStr">
        <is>
          <t>Costo/kg declarado</t>
        </is>
      </c>
      <c r="F4" s="3" t="inlineStr">
        <is>
          <t>Insumo</t>
        </is>
      </c>
      <c r="G4" s="3" t="inlineStr">
        <is>
          <t>Cantidad</t>
        </is>
      </c>
      <c r="H4" s="3" t="inlineStr">
        <is>
          <t>Unidad</t>
        </is>
      </c>
      <c r="I4" s="3" t="inlineStr">
        <is>
          <t>Merma %</t>
        </is>
      </c>
      <c r="J4" s="3" t="inlineStr">
        <is>
          <t>Precio MXN/kg</t>
        </is>
      </c>
      <c r="K4" s="3" t="inlineStr">
        <is>
          <t>Costo línea</t>
        </is>
      </c>
    </row>
    <row r="5">
      <c r="A5" s="14" t="inlineStr">
        <is>
          <t>PS-01</t>
        </is>
      </c>
      <c r="B5" s="15" t="inlineStr">
        <is>
          <t>Mezcla de harinas sin gluten COSECHA</t>
        </is>
      </c>
      <c r="C5" s="19" t="inlineStr">
        <is>
          <t>1.0 kg de mezcla seca (no hay pérdida: es mezclado en seco)</t>
        </is>
      </c>
      <c r="D5" s="19" t="inlineStr">
        <is>
          <t>3 meses en hermético, seco y fuera de la luz</t>
        </is>
      </c>
      <c r="E5" s="20" t="n">
        <v>104.35</v>
      </c>
      <c r="F5" s="16" t="n"/>
      <c r="G5" s="16" t="n"/>
      <c r="H5" s="16" t="n"/>
      <c r="I5" s="16" t="n"/>
      <c r="J5" s="16" t="n"/>
      <c r="K5" s="16" t="n"/>
    </row>
    <row r="6">
      <c r="A6" s="5" t="inlineStr"/>
      <c r="B6" s="5" t="inlineStr"/>
      <c r="C6" s="5" t="inlineStr"/>
      <c r="D6" s="5" t="inlineStr"/>
      <c r="E6" s="5" t="inlineStr"/>
      <c r="F6" s="5" t="inlineStr">
        <is>
          <t>Harina de almendra</t>
        </is>
      </c>
      <c r="G6" s="5" t="n">
        <v>400</v>
      </c>
      <c r="H6" s="5" t="inlineStr">
        <is>
          <t>g</t>
        </is>
      </c>
      <c r="I6" s="5" t="n">
        <v>0</v>
      </c>
      <c r="J6" s="6" t="n">
        <v>184</v>
      </c>
      <c r="K6" s="6" t="n">
        <v>73.59999999999999</v>
      </c>
    </row>
    <row r="7">
      <c r="A7" s="5" t="inlineStr"/>
      <c r="B7" s="5" t="inlineStr"/>
      <c r="C7" s="5" t="inlineStr"/>
      <c r="D7" s="5" t="inlineStr"/>
      <c r="E7" s="5" t="inlineStr"/>
      <c r="F7" s="5" t="inlineStr">
        <is>
          <t>Harina de arroz</t>
        </is>
      </c>
      <c r="G7" s="5" t="n">
        <v>350</v>
      </c>
      <c r="H7" s="5" t="inlineStr">
        <is>
          <t>g</t>
        </is>
      </c>
      <c r="I7" s="5" t="n">
        <v>0</v>
      </c>
      <c r="J7" s="6" t="n">
        <v>45</v>
      </c>
      <c r="K7" s="6" t="n">
        <v>15.75</v>
      </c>
    </row>
    <row r="8">
      <c r="A8" s="5" t="inlineStr"/>
      <c r="B8" s="5" t="inlineStr"/>
      <c r="C8" s="5" t="inlineStr"/>
      <c r="D8" s="5" t="inlineStr"/>
      <c r="E8" s="5" t="inlineStr"/>
      <c r="F8" s="5" t="inlineStr">
        <is>
          <t>Almidón de tapioca</t>
        </is>
      </c>
      <c r="G8" s="5" t="n">
        <v>250</v>
      </c>
      <c r="H8" s="5" t="inlineStr">
        <is>
          <t>g</t>
        </is>
      </c>
      <c r="I8" s="5" t="n">
        <v>0</v>
      </c>
      <c r="J8" s="6" t="n">
        <v>60</v>
      </c>
      <c r="K8" s="6" t="n">
        <v>15</v>
      </c>
    </row>
    <row r="9">
      <c r="A9" s="9" t="n"/>
      <c r="B9" s="9" t="n"/>
      <c r="C9" s="9" t="n"/>
      <c r="D9" s="9" t="n"/>
      <c r="E9" s="9" t="n"/>
      <c r="F9" s="10" t="inlineStr">
        <is>
          <t>Costo del lote</t>
        </is>
      </c>
      <c r="G9" s="9" t="n"/>
      <c r="H9" s="9" t="n"/>
      <c r="I9" s="9" t="n"/>
      <c r="J9" s="9" t="n"/>
      <c r="K9" s="18" t="n">
        <v>104.35</v>
      </c>
    </row>
    <row r="11">
      <c r="A11" s="14" t="inlineStr">
        <is>
          <t>PS-01</t>
        </is>
      </c>
      <c r="B11" s="15" t="inlineStr">
        <is>
          <t>Pasta de dátil</t>
        </is>
      </c>
      <c r="C11" s="19" t="inlineStr">
        <is>
          <t>1.0 kg de dátil + agua rinden 950 g de pasta (se evapora ~5% al procesar en caliente)</t>
        </is>
      </c>
      <c r="D11" s="19" t="inlineStr">
        <is>
          <t>10 días a 2-4 °C</t>
        </is>
      </c>
      <c r="E11" s="20" t="n">
        <v>140.79</v>
      </c>
      <c r="F11" s="16" t="n"/>
      <c r="G11" s="16" t="n"/>
      <c r="H11" s="16" t="n"/>
      <c r="I11" s="16" t="n"/>
      <c r="J11" s="16" t="n"/>
      <c r="K11" s="16" t="n"/>
    </row>
    <row r="12">
      <c r="A12" s="5" t="inlineStr"/>
      <c r="B12" s="5" t="inlineStr"/>
      <c r="C12" s="5" t="inlineStr"/>
      <c r="D12" s="5" t="inlineStr"/>
      <c r="E12" s="5" t="inlineStr"/>
      <c r="F12" s="5" t="inlineStr">
        <is>
          <t>Dátil deshuesado</t>
        </is>
      </c>
      <c r="G12" s="5" t="n">
        <v>700</v>
      </c>
      <c r="H12" s="5" t="inlineStr">
        <is>
          <t>g</t>
        </is>
      </c>
      <c r="I12" s="5" t="n">
        <v>3</v>
      </c>
      <c r="J12" s="6" t="n">
        <v>190</v>
      </c>
      <c r="K12" s="6" t="n">
        <v>137.11</v>
      </c>
    </row>
    <row r="13">
      <c r="A13" s="5" t="inlineStr"/>
      <c r="B13" s="5" t="inlineStr"/>
      <c r="C13" s="5" t="inlineStr"/>
      <c r="D13" s="5" t="inlineStr"/>
      <c r="E13" s="5" t="inlineStr"/>
      <c r="F13" s="5" t="inlineStr">
        <is>
          <t>Agua purificada</t>
        </is>
      </c>
      <c r="G13" s="5" t="n">
        <v>300</v>
      </c>
      <c r="H13" s="5" t="inlineStr">
        <is>
          <t>g</t>
        </is>
      </c>
      <c r="I13" s="5" t="n">
        <v>0</v>
      </c>
      <c r="J13" s="6" t="n">
        <v>2.5</v>
      </c>
      <c r="K13" s="6" t="n">
        <v>0.75</v>
      </c>
    </row>
    <row r="14">
      <c r="A14" s="9" t="n"/>
      <c r="B14" s="9" t="n"/>
      <c r="C14" s="9" t="n"/>
      <c r="D14" s="9" t="n"/>
      <c r="E14" s="9" t="n"/>
      <c r="F14" s="10" t="inlineStr">
        <is>
          <t>Costo del lote</t>
        </is>
      </c>
      <c r="G14" s="9" t="n"/>
      <c r="H14" s="9" t="n"/>
      <c r="I14" s="9" t="n"/>
      <c r="J14" s="9" t="n"/>
      <c r="K14" s="18" t="n">
        <v>137.86</v>
      </c>
    </row>
    <row r="16">
      <c r="A16" s="14" t="inlineStr">
        <is>
          <t>PS-01</t>
        </is>
      </c>
      <c r="B16" s="15" t="inlineStr">
        <is>
          <t>Huevo de lino</t>
        </is>
      </c>
      <c r="C16" s="19" t="inlineStr">
        <is>
          <t>400 g (100 g de linaza + 300 g de agua). Equivale a 8 huevos.</t>
        </is>
      </c>
      <c r="D16" s="19" t="inlineStr">
        <is>
          <t>48 h a 2-4 °C</t>
        </is>
      </c>
      <c r="E16" s="20" t="n">
        <v>14.38</v>
      </c>
      <c r="F16" s="16" t="n"/>
      <c r="G16" s="16" t="n"/>
      <c r="H16" s="16" t="n"/>
      <c r="I16" s="16" t="n"/>
      <c r="J16" s="16" t="n"/>
      <c r="K16" s="16" t="n"/>
    </row>
    <row r="17">
      <c r="A17" s="5" t="inlineStr"/>
      <c r="B17" s="5" t="inlineStr"/>
      <c r="C17" s="5" t="inlineStr"/>
      <c r="D17" s="5" t="inlineStr"/>
      <c r="E17" s="5" t="inlineStr"/>
      <c r="F17" s="5" t="inlineStr">
        <is>
          <t>Linaza molida</t>
        </is>
      </c>
      <c r="G17" s="5" t="n">
        <v>100</v>
      </c>
      <c r="H17" s="5" t="inlineStr">
        <is>
          <t>g</t>
        </is>
      </c>
      <c r="I17" s="5" t="n">
        <v>0</v>
      </c>
      <c r="J17" s="6" t="n">
        <v>50</v>
      </c>
      <c r="K17" s="6" t="n">
        <v>5</v>
      </c>
    </row>
    <row r="18">
      <c r="A18" s="5" t="inlineStr"/>
      <c r="B18" s="5" t="inlineStr"/>
      <c r="C18" s="5" t="inlineStr"/>
      <c r="D18" s="5" t="inlineStr"/>
      <c r="E18" s="5" t="inlineStr"/>
      <c r="F18" s="5" t="inlineStr">
        <is>
          <t>Agua purificada</t>
        </is>
      </c>
      <c r="G18" s="5" t="n">
        <v>300</v>
      </c>
      <c r="H18" s="5" t="inlineStr">
        <is>
          <t>g</t>
        </is>
      </c>
      <c r="I18" s="5" t="n">
        <v>0</v>
      </c>
      <c r="J18" s="6" t="n">
        <v>2.5</v>
      </c>
      <c r="K18" s="6" t="n">
        <v>0.75</v>
      </c>
    </row>
    <row r="19">
      <c r="A19" s="9" t="n"/>
      <c r="B19" s="9" t="n"/>
      <c r="C19" s="9" t="n"/>
      <c r="D19" s="9" t="n"/>
      <c r="E19" s="9" t="n"/>
      <c r="F19" s="10" t="inlineStr">
        <is>
          <t>Costo del lote</t>
        </is>
      </c>
      <c r="G19" s="9" t="n"/>
      <c r="H19" s="9" t="n"/>
      <c r="I19" s="9" t="n"/>
      <c r="J19" s="9" t="n"/>
      <c r="K19" s="18" t="n">
        <v>5.75</v>
      </c>
    </row>
    <row r="21">
      <c r="A21" s="14" t="inlineStr">
        <is>
          <t>PS-02</t>
        </is>
      </c>
      <c r="B21" s="15" t="inlineStr">
        <is>
          <t>Mezcla de harinas sin gluten COSECHA</t>
        </is>
      </c>
      <c r="C21" s="19" t="inlineStr">
        <is>
          <t>1.0 kg de mezcla seca (no hay pérdida: es mezclado en seco)</t>
        </is>
      </c>
      <c r="D21" s="19" t="inlineStr">
        <is>
          <t>3 meses en hermético, seco y fuera de la luz</t>
        </is>
      </c>
      <c r="E21" s="20" t="n">
        <v>104.35</v>
      </c>
      <c r="F21" s="16" t="n"/>
      <c r="G21" s="16" t="n"/>
      <c r="H21" s="16" t="n"/>
      <c r="I21" s="16" t="n"/>
      <c r="J21" s="16" t="n"/>
      <c r="K21" s="16" t="n"/>
    </row>
    <row r="22">
      <c r="A22" s="5" t="inlineStr"/>
      <c r="B22" s="5" t="inlineStr"/>
      <c r="C22" s="5" t="inlineStr"/>
      <c r="D22" s="5" t="inlineStr"/>
      <c r="E22" s="5" t="inlineStr"/>
      <c r="F22" s="5" t="inlineStr">
        <is>
          <t>Harina de almendra</t>
        </is>
      </c>
      <c r="G22" s="5" t="n">
        <v>400</v>
      </c>
      <c r="H22" s="5" t="inlineStr">
        <is>
          <t>g</t>
        </is>
      </c>
      <c r="I22" s="5" t="n">
        <v>0</v>
      </c>
      <c r="J22" s="6" t="n">
        <v>184</v>
      </c>
      <c r="K22" s="6" t="n">
        <v>73.59999999999999</v>
      </c>
    </row>
    <row r="23">
      <c r="A23" s="5" t="inlineStr"/>
      <c r="B23" s="5" t="inlineStr"/>
      <c r="C23" s="5" t="inlineStr"/>
      <c r="D23" s="5" t="inlineStr"/>
      <c r="E23" s="5" t="inlineStr"/>
      <c r="F23" s="5" t="inlineStr">
        <is>
          <t>Harina de arroz</t>
        </is>
      </c>
      <c r="G23" s="5" t="n">
        <v>350</v>
      </c>
      <c r="H23" s="5" t="inlineStr">
        <is>
          <t>g</t>
        </is>
      </c>
      <c r="I23" s="5" t="n">
        <v>0</v>
      </c>
      <c r="J23" s="6" t="n">
        <v>45</v>
      </c>
      <c r="K23" s="6" t="n">
        <v>15.75</v>
      </c>
    </row>
    <row r="24">
      <c r="A24" s="5" t="inlineStr"/>
      <c r="B24" s="5" t="inlineStr"/>
      <c r="C24" s="5" t="inlineStr"/>
      <c r="D24" s="5" t="inlineStr"/>
      <c r="E24" s="5" t="inlineStr"/>
      <c r="F24" s="5" t="inlineStr">
        <is>
          <t>Almidón de tapioca</t>
        </is>
      </c>
      <c r="G24" s="5" t="n">
        <v>250</v>
      </c>
      <c r="H24" s="5" t="inlineStr">
        <is>
          <t>g</t>
        </is>
      </c>
      <c r="I24" s="5" t="n">
        <v>0</v>
      </c>
      <c r="J24" s="6" t="n">
        <v>60</v>
      </c>
      <c r="K24" s="6" t="n">
        <v>15</v>
      </c>
    </row>
    <row r="25">
      <c r="A25" s="9" t="n"/>
      <c r="B25" s="9" t="n"/>
      <c r="C25" s="9" t="n"/>
      <c r="D25" s="9" t="n"/>
      <c r="E25" s="9" t="n"/>
      <c r="F25" s="10" t="inlineStr">
        <is>
          <t>Costo del lote</t>
        </is>
      </c>
      <c r="G25" s="9" t="n"/>
      <c r="H25" s="9" t="n"/>
      <c r="I25" s="9" t="n"/>
      <c r="J25" s="9" t="n"/>
      <c r="K25" s="18" t="n">
        <v>104.35</v>
      </c>
    </row>
    <row r="27">
      <c r="A27" s="14" t="inlineStr">
        <is>
          <t>PS-02</t>
        </is>
      </c>
      <c r="B27" s="15" t="inlineStr">
        <is>
          <t>Pasta de dátil</t>
        </is>
      </c>
      <c r="C27" s="19" t="inlineStr">
        <is>
          <t>1.0 kg de dátil + agua rinden 950 g de pasta (se evapora ~5% al procesar en caliente)</t>
        </is>
      </c>
      <c r="D27" s="19" t="inlineStr">
        <is>
          <t>10 días a 2-4 °C</t>
        </is>
      </c>
      <c r="E27" s="20" t="n">
        <v>140.79</v>
      </c>
      <c r="F27" s="16" t="n"/>
      <c r="G27" s="16" t="n"/>
      <c r="H27" s="16" t="n"/>
      <c r="I27" s="16" t="n"/>
      <c r="J27" s="16" t="n"/>
      <c r="K27" s="16" t="n"/>
    </row>
    <row r="28">
      <c r="A28" s="5" t="inlineStr"/>
      <c r="B28" s="5" t="inlineStr"/>
      <c r="C28" s="5" t="inlineStr"/>
      <c r="D28" s="5" t="inlineStr"/>
      <c r="E28" s="5" t="inlineStr"/>
      <c r="F28" s="5" t="inlineStr">
        <is>
          <t>Dátil deshuesado</t>
        </is>
      </c>
      <c r="G28" s="5" t="n">
        <v>700</v>
      </c>
      <c r="H28" s="5" t="inlineStr">
        <is>
          <t>g</t>
        </is>
      </c>
      <c r="I28" s="5" t="n">
        <v>3</v>
      </c>
      <c r="J28" s="6" t="n">
        <v>190</v>
      </c>
      <c r="K28" s="6" t="n">
        <v>137.11</v>
      </c>
    </row>
    <row r="29">
      <c r="A29" s="5" t="inlineStr"/>
      <c r="B29" s="5" t="inlineStr"/>
      <c r="C29" s="5" t="inlineStr"/>
      <c r="D29" s="5" t="inlineStr"/>
      <c r="E29" s="5" t="inlineStr"/>
      <c r="F29" s="5" t="inlineStr">
        <is>
          <t>Agua purificada</t>
        </is>
      </c>
      <c r="G29" s="5" t="n">
        <v>300</v>
      </c>
      <c r="H29" s="5" t="inlineStr">
        <is>
          <t>g</t>
        </is>
      </c>
      <c r="I29" s="5" t="n">
        <v>0</v>
      </c>
      <c r="J29" s="6" t="n">
        <v>2.5</v>
      </c>
      <c r="K29" s="6" t="n">
        <v>0.75</v>
      </c>
    </row>
    <row r="30">
      <c r="A30" s="9" t="n"/>
      <c r="B30" s="9" t="n"/>
      <c r="C30" s="9" t="n"/>
      <c r="D30" s="9" t="n"/>
      <c r="E30" s="9" t="n"/>
      <c r="F30" s="10" t="inlineStr">
        <is>
          <t>Costo del lote</t>
        </is>
      </c>
      <c r="G30" s="9" t="n"/>
      <c r="H30" s="9" t="n"/>
      <c r="I30" s="9" t="n"/>
      <c r="J30" s="9" t="n"/>
      <c r="K30" s="18" t="n">
        <v>137.86</v>
      </c>
    </row>
    <row r="32">
      <c r="A32" s="14" t="inlineStr">
        <is>
          <t>PS-02</t>
        </is>
      </c>
      <c r="B32" s="15" t="inlineStr">
        <is>
          <t>Huevo de lino</t>
        </is>
      </c>
      <c r="C32" s="19" t="inlineStr">
        <is>
          <t>400 g (100 g de linaza + 300 g de agua). Equivale a 8 huevos.</t>
        </is>
      </c>
      <c r="D32" s="19" t="inlineStr">
        <is>
          <t>48 h a 2-4 °C</t>
        </is>
      </c>
      <c r="E32" s="20" t="n">
        <v>14.38</v>
      </c>
      <c r="F32" s="16" t="n"/>
      <c r="G32" s="16" t="n"/>
      <c r="H32" s="16" t="n"/>
      <c r="I32" s="16" t="n"/>
      <c r="J32" s="16" t="n"/>
      <c r="K32" s="16" t="n"/>
    </row>
    <row r="33">
      <c r="A33" s="5" t="inlineStr"/>
      <c r="B33" s="5" t="inlineStr"/>
      <c r="C33" s="5" t="inlineStr"/>
      <c r="D33" s="5" t="inlineStr"/>
      <c r="E33" s="5" t="inlineStr"/>
      <c r="F33" s="5" t="inlineStr">
        <is>
          <t>Linaza molida</t>
        </is>
      </c>
      <c r="G33" s="5" t="n">
        <v>100</v>
      </c>
      <c r="H33" s="5" t="inlineStr">
        <is>
          <t>g</t>
        </is>
      </c>
      <c r="I33" s="5" t="n">
        <v>0</v>
      </c>
      <c r="J33" s="6" t="n">
        <v>50</v>
      </c>
      <c r="K33" s="6" t="n">
        <v>5</v>
      </c>
    </row>
    <row r="34">
      <c r="A34" s="5" t="inlineStr"/>
      <c r="B34" s="5" t="inlineStr"/>
      <c r="C34" s="5" t="inlineStr"/>
      <c r="D34" s="5" t="inlineStr"/>
      <c r="E34" s="5" t="inlineStr"/>
      <c r="F34" s="5" t="inlineStr">
        <is>
          <t>Agua purificada</t>
        </is>
      </c>
      <c r="G34" s="5" t="n">
        <v>300</v>
      </c>
      <c r="H34" s="5" t="inlineStr">
        <is>
          <t>g</t>
        </is>
      </c>
      <c r="I34" s="5" t="n">
        <v>0</v>
      </c>
      <c r="J34" s="6" t="n">
        <v>2.5</v>
      </c>
      <c r="K34" s="6" t="n">
        <v>0.75</v>
      </c>
    </row>
    <row r="35">
      <c r="A35" s="9" t="n"/>
      <c r="B35" s="9" t="n"/>
      <c r="C35" s="9" t="n"/>
      <c r="D35" s="9" t="n"/>
      <c r="E35" s="9" t="n"/>
      <c r="F35" s="10" t="inlineStr">
        <is>
          <t>Costo del lote</t>
        </is>
      </c>
      <c r="G35" s="9" t="n"/>
      <c r="H35" s="9" t="n"/>
      <c r="I35" s="9" t="n"/>
      <c r="J35" s="9" t="n"/>
      <c r="K35" s="18" t="n">
        <v>5.75</v>
      </c>
    </row>
    <row r="37">
      <c r="A37" s="14" t="inlineStr">
        <is>
          <t>PS-03</t>
        </is>
      </c>
      <c r="B37" s="15" t="inlineStr">
        <is>
          <t>Mezcla de harinas sin gluten COSECHA</t>
        </is>
      </c>
      <c r="C37" s="19" t="inlineStr">
        <is>
          <t>1.0 kg de mezcla seca (no hay pérdida: es mezclado en seco)</t>
        </is>
      </c>
      <c r="D37" s="19" t="inlineStr">
        <is>
          <t>3 meses en hermético, seco y fuera de la luz</t>
        </is>
      </c>
      <c r="E37" s="20" t="n">
        <v>104.35</v>
      </c>
      <c r="F37" s="16" t="n"/>
      <c r="G37" s="16" t="n"/>
      <c r="H37" s="16" t="n"/>
      <c r="I37" s="16" t="n"/>
      <c r="J37" s="16" t="n"/>
      <c r="K37" s="16" t="n"/>
    </row>
    <row r="38">
      <c r="A38" s="5" t="inlineStr"/>
      <c r="B38" s="5" t="inlineStr"/>
      <c r="C38" s="5" t="inlineStr"/>
      <c r="D38" s="5" t="inlineStr"/>
      <c r="E38" s="5" t="inlineStr"/>
      <c r="F38" s="5" t="inlineStr">
        <is>
          <t>Harina de almendra</t>
        </is>
      </c>
      <c r="G38" s="5" t="n">
        <v>400</v>
      </c>
      <c r="H38" s="5" t="inlineStr">
        <is>
          <t>g</t>
        </is>
      </c>
      <c r="I38" s="5" t="n">
        <v>0</v>
      </c>
      <c r="J38" s="6" t="n">
        <v>184</v>
      </c>
      <c r="K38" s="6" t="n">
        <v>73.59999999999999</v>
      </c>
    </row>
    <row r="39">
      <c r="A39" s="5" t="inlineStr"/>
      <c r="B39" s="5" t="inlineStr"/>
      <c r="C39" s="5" t="inlineStr"/>
      <c r="D39" s="5" t="inlineStr"/>
      <c r="E39" s="5" t="inlineStr"/>
      <c r="F39" s="5" t="inlineStr">
        <is>
          <t>Harina de arroz</t>
        </is>
      </c>
      <c r="G39" s="5" t="n">
        <v>350</v>
      </c>
      <c r="H39" s="5" t="inlineStr">
        <is>
          <t>g</t>
        </is>
      </c>
      <c r="I39" s="5" t="n">
        <v>0</v>
      </c>
      <c r="J39" s="6" t="n">
        <v>45</v>
      </c>
      <c r="K39" s="6" t="n">
        <v>15.75</v>
      </c>
    </row>
    <row r="40">
      <c r="A40" s="5" t="inlineStr"/>
      <c r="B40" s="5" t="inlineStr"/>
      <c r="C40" s="5" t="inlineStr"/>
      <c r="D40" s="5" t="inlineStr"/>
      <c r="E40" s="5" t="inlineStr"/>
      <c r="F40" s="5" t="inlineStr">
        <is>
          <t>Almidón de tapioca</t>
        </is>
      </c>
      <c r="G40" s="5" t="n">
        <v>250</v>
      </c>
      <c r="H40" s="5" t="inlineStr">
        <is>
          <t>g</t>
        </is>
      </c>
      <c r="I40" s="5" t="n">
        <v>0</v>
      </c>
      <c r="J40" s="6" t="n">
        <v>60</v>
      </c>
      <c r="K40" s="6" t="n">
        <v>15</v>
      </c>
    </row>
    <row r="41">
      <c r="A41" s="9" t="n"/>
      <c r="B41" s="9" t="n"/>
      <c r="C41" s="9" t="n"/>
      <c r="D41" s="9" t="n"/>
      <c r="E41" s="9" t="n"/>
      <c r="F41" s="10" t="inlineStr">
        <is>
          <t>Costo del lote</t>
        </is>
      </c>
      <c r="G41" s="9" t="n"/>
      <c r="H41" s="9" t="n"/>
      <c r="I41" s="9" t="n"/>
      <c r="J41" s="9" t="n"/>
      <c r="K41" s="18" t="n">
        <v>104.35</v>
      </c>
    </row>
    <row r="43">
      <c r="A43" s="14" t="inlineStr">
        <is>
          <t>PS-03</t>
        </is>
      </c>
      <c r="B43" s="15" t="inlineStr">
        <is>
          <t>Pasta de dátil</t>
        </is>
      </c>
      <c r="C43" s="19" t="inlineStr">
        <is>
          <t>1.0 kg de dátil + agua rinden 950 g de pasta (se evapora ~5% al procesar en caliente)</t>
        </is>
      </c>
      <c r="D43" s="19" t="inlineStr">
        <is>
          <t>10 días a 2-4 °C</t>
        </is>
      </c>
      <c r="E43" s="20" t="n">
        <v>140.79</v>
      </c>
      <c r="F43" s="16" t="n"/>
      <c r="G43" s="16" t="n"/>
      <c r="H43" s="16" t="n"/>
      <c r="I43" s="16" t="n"/>
      <c r="J43" s="16" t="n"/>
      <c r="K43" s="16" t="n"/>
    </row>
    <row r="44">
      <c r="A44" s="5" t="inlineStr"/>
      <c r="B44" s="5" t="inlineStr"/>
      <c r="C44" s="5" t="inlineStr"/>
      <c r="D44" s="5" t="inlineStr"/>
      <c r="E44" s="5" t="inlineStr"/>
      <c r="F44" s="5" t="inlineStr">
        <is>
          <t>Dátil deshuesado</t>
        </is>
      </c>
      <c r="G44" s="5" t="n">
        <v>700</v>
      </c>
      <c r="H44" s="5" t="inlineStr">
        <is>
          <t>g</t>
        </is>
      </c>
      <c r="I44" s="5" t="n">
        <v>3</v>
      </c>
      <c r="J44" s="6" t="n">
        <v>190</v>
      </c>
      <c r="K44" s="6" t="n">
        <v>137.11</v>
      </c>
    </row>
    <row r="45">
      <c r="A45" s="5" t="inlineStr"/>
      <c r="B45" s="5" t="inlineStr"/>
      <c r="C45" s="5" t="inlineStr"/>
      <c r="D45" s="5" t="inlineStr"/>
      <c r="E45" s="5" t="inlineStr"/>
      <c r="F45" s="5" t="inlineStr">
        <is>
          <t>Agua purificada</t>
        </is>
      </c>
      <c r="G45" s="5" t="n">
        <v>300</v>
      </c>
      <c r="H45" s="5" t="inlineStr">
        <is>
          <t>g</t>
        </is>
      </c>
      <c r="I45" s="5" t="n">
        <v>0</v>
      </c>
      <c r="J45" s="6" t="n">
        <v>2.5</v>
      </c>
      <c r="K45" s="6" t="n">
        <v>0.75</v>
      </c>
    </row>
    <row r="46">
      <c r="A46" s="9" t="n"/>
      <c r="B46" s="9" t="n"/>
      <c r="C46" s="9" t="n"/>
      <c r="D46" s="9" t="n"/>
      <c r="E46" s="9" t="n"/>
      <c r="F46" s="10" t="inlineStr">
        <is>
          <t>Costo del lote</t>
        </is>
      </c>
      <c r="G46" s="9" t="n"/>
      <c r="H46" s="9" t="n"/>
      <c r="I46" s="9" t="n"/>
      <c r="J46" s="9" t="n"/>
      <c r="K46" s="18" t="n">
        <v>137.86</v>
      </c>
    </row>
    <row r="48">
      <c r="A48" s="14" t="inlineStr">
        <is>
          <t>PS-03</t>
        </is>
      </c>
      <c r="B48" s="15" t="inlineStr">
        <is>
          <t>Huevo de lino</t>
        </is>
      </c>
      <c r="C48" s="19" t="inlineStr">
        <is>
          <t>400 g (100 g de linaza + 300 g de agua). Equivale a 8 huevos.</t>
        </is>
      </c>
      <c r="D48" s="19" t="inlineStr">
        <is>
          <t>48 h a 2-4 °C</t>
        </is>
      </c>
      <c r="E48" s="20" t="n">
        <v>14.38</v>
      </c>
      <c r="F48" s="16" t="n"/>
      <c r="G48" s="16" t="n"/>
      <c r="H48" s="16" t="n"/>
      <c r="I48" s="16" t="n"/>
      <c r="J48" s="16" t="n"/>
      <c r="K48" s="16" t="n"/>
    </row>
    <row r="49">
      <c r="A49" s="5" t="inlineStr"/>
      <c r="B49" s="5" t="inlineStr"/>
      <c r="C49" s="5" t="inlineStr"/>
      <c r="D49" s="5" t="inlineStr"/>
      <c r="E49" s="5" t="inlineStr"/>
      <c r="F49" s="5" t="inlineStr">
        <is>
          <t>Linaza molida</t>
        </is>
      </c>
      <c r="G49" s="5" t="n">
        <v>100</v>
      </c>
      <c r="H49" s="5" t="inlineStr">
        <is>
          <t>g</t>
        </is>
      </c>
      <c r="I49" s="5" t="n">
        <v>0</v>
      </c>
      <c r="J49" s="6" t="n">
        <v>50</v>
      </c>
      <c r="K49" s="6" t="n">
        <v>5</v>
      </c>
    </row>
    <row r="50">
      <c r="A50" s="5" t="inlineStr"/>
      <c r="B50" s="5" t="inlineStr"/>
      <c r="C50" s="5" t="inlineStr"/>
      <c r="D50" s="5" t="inlineStr"/>
      <c r="E50" s="5" t="inlineStr"/>
      <c r="F50" s="5" t="inlineStr">
        <is>
          <t>Agua purificada</t>
        </is>
      </c>
      <c r="G50" s="5" t="n">
        <v>300</v>
      </c>
      <c r="H50" s="5" t="inlineStr">
        <is>
          <t>g</t>
        </is>
      </c>
      <c r="I50" s="5" t="n">
        <v>0</v>
      </c>
      <c r="J50" s="6" t="n">
        <v>2.5</v>
      </c>
      <c r="K50" s="6" t="n">
        <v>0.75</v>
      </c>
    </row>
    <row r="51">
      <c r="A51" s="9" t="n"/>
      <c r="B51" s="9" t="n"/>
      <c r="C51" s="9" t="n"/>
      <c r="D51" s="9" t="n"/>
      <c r="E51" s="9" t="n"/>
      <c r="F51" s="10" t="inlineStr">
        <is>
          <t>Costo del lote</t>
        </is>
      </c>
      <c r="G51" s="9" t="n"/>
      <c r="H51" s="9" t="n"/>
      <c r="I51" s="9" t="n"/>
      <c r="J51" s="9" t="n"/>
      <c r="K51" s="18" t="n">
        <v>5.75</v>
      </c>
    </row>
    <row r="53">
      <c r="A53" s="14" t="inlineStr">
        <is>
          <t>PS-04</t>
        </is>
      </c>
      <c r="B53" s="15" t="inlineStr">
        <is>
          <t>Mezcla de harinas sin gluten COSECHA</t>
        </is>
      </c>
      <c r="C53" s="19" t="inlineStr">
        <is>
          <t>1.0 kg de mezcla seca (no hay pérdida: es mezclado en seco)</t>
        </is>
      </c>
      <c r="D53" s="19" t="inlineStr">
        <is>
          <t>3 meses en hermético, seco y fuera de la luz</t>
        </is>
      </c>
      <c r="E53" s="20" t="n">
        <v>104.35</v>
      </c>
      <c r="F53" s="16" t="n"/>
      <c r="G53" s="16" t="n"/>
      <c r="H53" s="16" t="n"/>
      <c r="I53" s="16" t="n"/>
      <c r="J53" s="16" t="n"/>
      <c r="K53" s="16" t="n"/>
    </row>
    <row r="54">
      <c r="A54" s="5" t="inlineStr"/>
      <c r="B54" s="5" t="inlineStr"/>
      <c r="C54" s="5" t="inlineStr"/>
      <c r="D54" s="5" t="inlineStr"/>
      <c r="E54" s="5" t="inlineStr"/>
      <c r="F54" s="5" t="inlineStr">
        <is>
          <t>Harina de almendra</t>
        </is>
      </c>
      <c r="G54" s="5" t="n">
        <v>400</v>
      </c>
      <c r="H54" s="5" t="inlineStr">
        <is>
          <t>g</t>
        </is>
      </c>
      <c r="I54" s="5" t="n">
        <v>0</v>
      </c>
      <c r="J54" s="6" t="n">
        <v>184</v>
      </c>
      <c r="K54" s="6" t="n">
        <v>73.59999999999999</v>
      </c>
    </row>
    <row r="55">
      <c r="A55" s="5" t="inlineStr"/>
      <c r="B55" s="5" t="inlineStr"/>
      <c r="C55" s="5" t="inlineStr"/>
      <c r="D55" s="5" t="inlineStr"/>
      <c r="E55" s="5" t="inlineStr"/>
      <c r="F55" s="5" t="inlineStr">
        <is>
          <t>Harina de arroz</t>
        </is>
      </c>
      <c r="G55" s="5" t="n">
        <v>350</v>
      </c>
      <c r="H55" s="5" t="inlineStr">
        <is>
          <t>g</t>
        </is>
      </c>
      <c r="I55" s="5" t="n">
        <v>0</v>
      </c>
      <c r="J55" s="6" t="n">
        <v>45</v>
      </c>
      <c r="K55" s="6" t="n">
        <v>15.75</v>
      </c>
    </row>
    <row r="56">
      <c r="A56" s="5" t="inlineStr"/>
      <c r="B56" s="5" t="inlineStr"/>
      <c r="C56" s="5" t="inlineStr"/>
      <c r="D56" s="5" t="inlineStr"/>
      <c r="E56" s="5" t="inlineStr"/>
      <c r="F56" s="5" t="inlineStr">
        <is>
          <t>Almidón de tapioca</t>
        </is>
      </c>
      <c r="G56" s="5" t="n">
        <v>250</v>
      </c>
      <c r="H56" s="5" t="inlineStr">
        <is>
          <t>g</t>
        </is>
      </c>
      <c r="I56" s="5" t="n">
        <v>0</v>
      </c>
      <c r="J56" s="6" t="n">
        <v>60</v>
      </c>
      <c r="K56" s="6" t="n">
        <v>15</v>
      </c>
    </row>
    <row r="57">
      <c r="A57" s="9" t="n"/>
      <c r="B57" s="9" t="n"/>
      <c r="C57" s="9" t="n"/>
      <c r="D57" s="9" t="n"/>
      <c r="E57" s="9" t="n"/>
      <c r="F57" s="10" t="inlineStr">
        <is>
          <t>Costo del lote</t>
        </is>
      </c>
      <c r="G57" s="9" t="n"/>
      <c r="H57" s="9" t="n"/>
      <c r="I57" s="9" t="n"/>
      <c r="J57" s="9" t="n"/>
      <c r="K57" s="18" t="n">
        <v>104.35</v>
      </c>
    </row>
    <row r="59">
      <c r="A59" s="14" t="inlineStr">
        <is>
          <t>PS-04</t>
        </is>
      </c>
      <c r="B59" s="15" t="inlineStr">
        <is>
          <t>Pasta de dátil</t>
        </is>
      </c>
      <c r="C59" s="19" t="inlineStr">
        <is>
          <t>1.0 kg de dátil + agua rinden 950 g de pasta (se evapora ~5% al procesar en caliente)</t>
        </is>
      </c>
      <c r="D59" s="19" t="inlineStr">
        <is>
          <t>10 días a 2-4 °C</t>
        </is>
      </c>
      <c r="E59" s="20" t="n">
        <v>140.79</v>
      </c>
      <c r="F59" s="16" t="n"/>
      <c r="G59" s="16" t="n"/>
      <c r="H59" s="16" t="n"/>
      <c r="I59" s="16" t="n"/>
      <c r="J59" s="16" t="n"/>
      <c r="K59" s="16" t="n"/>
    </row>
    <row r="60">
      <c r="A60" s="5" t="inlineStr"/>
      <c r="B60" s="5" t="inlineStr"/>
      <c r="C60" s="5" t="inlineStr"/>
      <c r="D60" s="5" t="inlineStr"/>
      <c r="E60" s="5" t="inlineStr"/>
      <c r="F60" s="5" t="inlineStr">
        <is>
          <t>Dátil deshuesado</t>
        </is>
      </c>
      <c r="G60" s="5" t="n">
        <v>700</v>
      </c>
      <c r="H60" s="5" t="inlineStr">
        <is>
          <t>g</t>
        </is>
      </c>
      <c r="I60" s="5" t="n">
        <v>3</v>
      </c>
      <c r="J60" s="6" t="n">
        <v>190</v>
      </c>
      <c r="K60" s="6" t="n">
        <v>137.11</v>
      </c>
    </row>
    <row r="61">
      <c r="A61" s="5" t="inlineStr"/>
      <c r="B61" s="5" t="inlineStr"/>
      <c r="C61" s="5" t="inlineStr"/>
      <c r="D61" s="5" t="inlineStr"/>
      <c r="E61" s="5" t="inlineStr"/>
      <c r="F61" s="5" t="inlineStr">
        <is>
          <t>Agua purificada</t>
        </is>
      </c>
      <c r="G61" s="5" t="n">
        <v>300</v>
      </c>
      <c r="H61" s="5" t="inlineStr">
        <is>
          <t>g</t>
        </is>
      </c>
      <c r="I61" s="5" t="n">
        <v>0</v>
      </c>
      <c r="J61" s="6" t="n">
        <v>2.5</v>
      </c>
      <c r="K61" s="6" t="n">
        <v>0.75</v>
      </c>
    </row>
    <row r="62">
      <c r="A62" s="9" t="n"/>
      <c r="B62" s="9" t="n"/>
      <c r="C62" s="9" t="n"/>
      <c r="D62" s="9" t="n"/>
      <c r="E62" s="9" t="n"/>
      <c r="F62" s="10" t="inlineStr">
        <is>
          <t>Costo del lote</t>
        </is>
      </c>
      <c r="G62" s="9" t="n"/>
      <c r="H62" s="9" t="n"/>
      <c r="I62" s="9" t="n"/>
      <c r="J62" s="9" t="n"/>
      <c r="K62" s="18" t="n">
        <v>137.86</v>
      </c>
    </row>
    <row r="64">
      <c r="A64" s="14" t="inlineStr">
        <is>
          <t>PS-04</t>
        </is>
      </c>
      <c r="B64" s="15" t="inlineStr">
        <is>
          <t>Huevo de lino</t>
        </is>
      </c>
      <c r="C64" s="19" t="inlineStr">
        <is>
          <t>400 g (100 g de linaza + 300 g de agua). Equivale a 8 huevos.</t>
        </is>
      </c>
      <c r="D64" s="19" t="inlineStr">
        <is>
          <t>48 h a 2-4 °C</t>
        </is>
      </c>
      <c r="E64" s="20" t="n">
        <v>14.38</v>
      </c>
      <c r="F64" s="16" t="n"/>
      <c r="G64" s="16" t="n"/>
      <c r="H64" s="16" t="n"/>
      <c r="I64" s="16" t="n"/>
      <c r="J64" s="16" t="n"/>
      <c r="K64" s="16" t="n"/>
    </row>
    <row r="65">
      <c r="A65" s="5" t="inlineStr"/>
      <c r="B65" s="5" t="inlineStr"/>
      <c r="C65" s="5" t="inlineStr"/>
      <c r="D65" s="5" t="inlineStr"/>
      <c r="E65" s="5" t="inlineStr"/>
      <c r="F65" s="5" t="inlineStr">
        <is>
          <t>Linaza molida</t>
        </is>
      </c>
      <c r="G65" s="5" t="n">
        <v>100</v>
      </c>
      <c r="H65" s="5" t="inlineStr">
        <is>
          <t>g</t>
        </is>
      </c>
      <c r="I65" s="5" t="n">
        <v>0</v>
      </c>
      <c r="J65" s="6" t="n">
        <v>50</v>
      </c>
      <c r="K65" s="6" t="n">
        <v>5</v>
      </c>
    </row>
    <row r="66">
      <c r="A66" s="5" t="inlineStr"/>
      <c r="B66" s="5" t="inlineStr"/>
      <c r="C66" s="5" t="inlineStr"/>
      <c r="D66" s="5" t="inlineStr"/>
      <c r="E66" s="5" t="inlineStr"/>
      <c r="F66" s="5" t="inlineStr">
        <is>
          <t>Agua purificada</t>
        </is>
      </c>
      <c r="G66" s="5" t="n">
        <v>300</v>
      </c>
      <c r="H66" s="5" t="inlineStr">
        <is>
          <t>g</t>
        </is>
      </c>
      <c r="I66" s="5" t="n">
        <v>0</v>
      </c>
      <c r="J66" s="6" t="n">
        <v>2.5</v>
      </c>
      <c r="K66" s="6" t="n">
        <v>0.75</v>
      </c>
    </row>
    <row r="67">
      <c r="A67" s="9" t="n"/>
      <c r="B67" s="9" t="n"/>
      <c r="C67" s="9" t="n"/>
      <c r="D67" s="9" t="n"/>
      <c r="E67" s="9" t="n"/>
      <c r="F67" s="10" t="inlineStr">
        <is>
          <t>Costo del lote</t>
        </is>
      </c>
      <c r="G67" s="9" t="n"/>
      <c r="H67" s="9" t="n"/>
      <c r="I67" s="9" t="n"/>
      <c r="J67" s="9" t="n"/>
      <c r="K67" s="18" t="n">
        <v>5.75</v>
      </c>
    </row>
    <row r="69">
      <c r="A69" s="14" t="inlineStr">
        <is>
          <t>PS-05</t>
        </is>
      </c>
      <c r="B69" s="15" t="inlineStr">
        <is>
          <t>Mezcla de harinas sin gluten COSECHA</t>
        </is>
      </c>
      <c r="C69" s="19" t="inlineStr">
        <is>
          <t>1.0 kg de mezcla seca (no hay pérdida: es mezclado en seco)</t>
        </is>
      </c>
      <c r="D69" s="19" t="inlineStr">
        <is>
          <t>3 meses en hermético, seco y fuera de la luz</t>
        </is>
      </c>
      <c r="E69" s="20" t="n">
        <v>104.35</v>
      </c>
      <c r="F69" s="16" t="n"/>
      <c r="G69" s="16" t="n"/>
      <c r="H69" s="16" t="n"/>
      <c r="I69" s="16" t="n"/>
      <c r="J69" s="16" t="n"/>
      <c r="K69" s="16" t="n"/>
    </row>
    <row r="70">
      <c r="A70" s="5" t="inlineStr"/>
      <c r="B70" s="5" t="inlineStr"/>
      <c r="C70" s="5" t="inlineStr"/>
      <c r="D70" s="5" t="inlineStr"/>
      <c r="E70" s="5" t="inlineStr"/>
      <c r="F70" s="5" t="inlineStr">
        <is>
          <t>Harina de almendra</t>
        </is>
      </c>
      <c r="G70" s="5" t="n">
        <v>400</v>
      </c>
      <c r="H70" s="5" t="inlineStr">
        <is>
          <t>g</t>
        </is>
      </c>
      <c r="I70" s="5" t="n">
        <v>0</v>
      </c>
      <c r="J70" s="6" t="n">
        <v>184</v>
      </c>
      <c r="K70" s="6" t="n">
        <v>73.59999999999999</v>
      </c>
    </row>
    <row r="71">
      <c r="A71" s="5" t="inlineStr"/>
      <c r="B71" s="5" t="inlineStr"/>
      <c r="C71" s="5" t="inlineStr"/>
      <c r="D71" s="5" t="inlineStr"/>
      <c r="E71" s="5" t="inlineStr"/>
      <c r="F71" s="5" t="inlineStr">
        <is>
          <t>Harina de arroz</t>
        </is>
      </c>
      <c r="G71" s="5" t="n">
        <v>350</v>
      </c>
      <c r="H71" s="5" t="inlineStr">
        <is>
          <t>g</t>
        </is>
      </c>
      <c r="I71" s="5" t="n">
        <v>0</v>
      </c>
      <c r="J71" s="6" t="n">
        <v>45</v>
      </c>
      <c r="K71" s="6" t="n">
        <v>15.75</v>
      </c>
    </row>
    <row r="72">
      <c r="A72" s="5" t="inlineStr"/>
      <c r="B72" s="5" t="inlineStr"/>
      <c r="C72" s="5" t="inlineStr"/>
      <c r="D72" s="5" t="inlineStr"/>
      <c r="E72" s="5" t="inlineStr"/>
      <c r="F72" s="5" t="inlineStr">
        <is>
          <t>Almidón de tapioca</t>
        </is>
      </c>
      <c r="G72" s="5" t="n">
        <v>250</v>
      </c>
      <c r="H72" s="5" t="inlineStr">
        <is>
          <t>g</t>
        </is>
      </c>
      <c r="I72" s="5" t="n">
        <v>0</v>
      </c>
      <c r="J72" s="6" t="n">
        <v>60</v>
      </c>
      <c r="K72" s="6" t="n">
        <v>15</v>
      </c>
    </row>
    <row r="73">
      <c r="A73" s="9" t="n"/>
      <c r="B73" s="9" t="n"/>
      <c r="C73" s="9" t="n"/>
      <c r="D73" s="9" t="n"/>
      <c r="E73" s="9" t="n"/>
      <c r="F73" s="10" t="inlineStr">
        <is>
          <t>Costo del lote</t>
        </is>
      </c>
      <c r="G73" s="9" t="n"/>
      <c r="H73" s="9" t="n"/>
      <c r="I73" s="9" t="n"/>
      <c r="J73" s="9" t="n"/>
      <c r="K73" s="18" t="n">
        <v>104.35</v>
      </c>
    </row>
    <row r="75">
      <c r="A75" s="14" t="inlineStr">
        <is>
          <t>PS-05</t>
        </is>
      </c>
      <c r="B75" s="15" t="inlineStr">
        <is>
          <t>Pasta de dátil</t>
        </is>
      </c>
      <c r="C75" s="19" t="inlineStr">
        <is>
          <t>1.0 kg de dátil + agua rinden 950 g de pasta (se evapora ~5% al procesar en caliente)</t>
        </is>
      </c>
      <c r="D75" s="19" t="inlineStr">
        <is>
          <t>10 días a 2-4 °C</t>
        </is>
      </c>
      <c r="E75" s="20" t="n">
        <v>140.79</v>
      </c>
      <c r="F75" s="16" t="n"/>
      <c r="G75" s="16" t="n"/>
      <c r="H75" s="16" t="n"/>
      <c r="I75" s="16" t="n"/>
      <c r="J75" s="16" t="n"/>
      <c r="K75" s="16" t="n"/>
    </row>
    <row r="76">
      <c r="A76" s="5" t="inlineStr"/>
      <c r="B76" s="5" t="inlineStr"/>
      <c r="C76" s="5" t="inlineStr"/>
      <c r="D76" s="5" t="inlineStr"/>
      <c r="E76" s="5" t="inlineStr"/>
      <c r="F76" s="5" t="inlineStr">
        <is>
          <t>Dátil deshuesado</t>
        </is>
      </c>
      <c r="G76" s="5" t="n">
        <v>700</v>
      </c>
      <c r="H76" s="5" t="inlineStr">
        <is>
          <t>g</t>
        </is>
      </c>
      <c r="I76" s="5" t="n">
        <v>3</v>
      </c>
      <c r="J76" s="6" t="n">
        <v>190</v>
      </c>
      <c r="K76" s="6" t="n">
        <v>137.11</v>
      </c>
    </row>
    <row r="77">
      <c r="A77" s="5" t="inlineStr"/>
      <c r="B77" s="5" t="inlineStr"/>
      <c r="C77" s="5" t="inlineStr"/>
      <c r="D77" s="5" t="inlineStr"/>
      <c r="E77" s="5" t="inlineStr"/>
      <c r="F77" s="5" t="inlineStr">
        <is>
          <t>Agua purificada</t>
        </is>
      </c>
      <c r="G77" s="5" t="n">
        <v>300</v>
      </c>
      <c r="H77" s="5" t="inlineStr">
        <is>
          <t>g</t>
        </is>
      </c>
      <c r="I77" s="5" t="n">
        <v>0</v>
      </c>
      <c r="J77" s="6" t="n">
        <v>2.5</v>
      </c>
      <c r="K77" s="6" t="n">
        <v>0.75</v>
      </c>
    </row>
    <row r="78">
      <c r="A78" s="9" t="n"/>
      <c r="B78" s="9" t="n"/>
      <c r="C78" s="9" t="n"/>
      <c r="D78" s="9" t="n"/>
      <c r="E78" s="9" t="n"/>
      <c r="F78" s="10" t="inlineStr">
        <is>
          <t>Costo del lote</t>
        </is>
      </c>
      <c r="G78" s="9" t="n"/>
      <c r="H78" s="9" t="n"/>
      <c r="I78" s="9" t="n"/>
      <c r="J78" s="9" t="n"/>
      <c r="K78" s="18" t="n">
        <v>137.86</v>
      </c>
    </row>
    <row r="80">
      <c r="A80" s="14" t="inlineStr">
        <is>
          <t>PS-05</t>
        </is>
      </c>
      <c r="B80" s="15" t="inlineStr">
        <is>
          <t>Huevo de lino</t>
        </is>
      </c>
      <c r="C80" s="19" t="inlineStr">
        <is>
          <t>400 g (100 g de linaza + 300 g de agua). Equivale a 8 huevos.</t>
        </is>
      </c>
      <c r="D80" s="19" t="inlineStr">
        <is>
          <t>48 h a 2-4 °C</t>
        </is>
      </c>
      <c r="E80" s="20" t="n">
        <v>14.38</v>
      </c>
      <c r="F80" s="16" t="n"/>
      <c r="G80" s="16" t="n"/>
      <c r="H80" s="16" t="n"/>
      <c r="I80" s="16" t="n"/>
      <c r="J80" s="16" t="n"/>
      <c r="K80" s="16" t="n"/>
    </row>
    <row r="81">
      <c r="A81" s="5" t="inlineStr"/>
      <c r="B81" s="5" t="inlineStr"/>
      <c r="C81" s="5" t="inlineStr"/>
      <c r="D81" s="5" t="inlineStr"/>
      <c r="E81" s="5" t="inlineStr"/>
      <c r="F81" s="5" t="inlineStr">
        <is>
          <t>Linaza molida</t>
        </is>
      </c>
      <c r="G81" s="5" t="n">
        <v>100</v>
      </c>
      <c r="H81" s="5" t="inlineStr">
        <is>
          <t>g</t>
        </is>
      </c>
      <c r="I81" s="5" t="n">
        <v>0</v>
      </c>
      <c r="J81" s="6" t="n">
        <v>50</v>
      </c>
      <c r="K81" s="6" t="n">
        <v>5</v>
      </c>
    </row>
    <row r="82">
      <c r="A82" s="5" t="inlineStr"/>
      <c r="B82" s="5" t="inlineStr"/>
      <c r="C82" s="5" t="inlineStr"/>
      <c r="D82" s="5" t="inlineStr"/>
      <c r="E82" s="5" t="inlineStr"/>
      <c r="F82" s="5" t="inlineStr">
        <is>
          <t>Agua purificada</t>
        </is>
      </c>
      <c r="G82" s="5" t="n">
        <v>300</v>
      </c>
      <c r="H82" s="5" t="inlineStr">
        <is>
          <t>g</t>
        </is>
      </c>
      <c r="I82" s="5" t="n">
        <v>0</v>
      </c>
      <c r="J82" s="6" t="n">
        <v>2.5</v>
      </c>
      <c r="K82" s="6" t="n">
        <v>0.75</v>
      </c>
    </row>
    <row r="83">
      <c r="A83" s="9" t="n"/>
      <c r="B83" s="9" t="n"/>
      <c r="C83" s="9" t="n"/>
      <c r="D83" s="9" t="n"/>
      <c r="E83" s="9" t="n"/>
      <c r="F83" s="10" t="inlineStr">
        <is>
          <t>Costo del lote</t>
        </is>
      </c>
      <c r="G83" s="9" t="n"/>
      <c r="H83" s="9" t="n"/>
      <c r="I83" s="9" t="n"/>
      <c r="J83" s="9" t="n"/>
      <c r="K83" s="18" t="n">
        <v>5.75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1" customWidth="1" min="5" max="5"/>
    <col width="10" customWidth="1" min="6" max="6"/>
    <col width="8" customWidth="1" min="7" max="7"/>
    <col width="8" customWidth="1" min="8" max="8"/>
    <col width="8" customWidth="1" min="9" max="9"/>
    <col width="44" customWidth="1" min="10" max="10"/>
    <col width="34" customWidth="1" min="11" max="11"/>
  </cols>
  <sheetData>
    <row r="1">
      <c r="A1" s="13" t="inlineStr">
        <is>
          <t>Insumos consolidados — lista de compra</t>
        </is>
      </c>
    </row>
    <row r="2">
      <c r="A2" s="2" t="inlineStr">
        <is>
          <t>29 insumos distintos. Los que sostienen una sola receta son los candidatos a recortar.</t>
        </is>
      </c>
    </row>
    <row r="4" ht="30" customHeight="1">
      <c r="A4" s="3" t="inlineStr">
        <is>
          <t>Insumo</t>
        </is>
      </c>
      <c r="B4" s="3" t="inlineStr">
        <is>
          <t>Precio min</t>
        </is>
      </c>
      <c r="C4" s="3" t="inlineStr">
        <is>
          <t>Precio max</t>
        </is>
      </c>
      <c r="D4" s="3" t="inlineStr">
        <is>
          <t>Merma %</t>
        </is>
      </c>
      <c r="E4" s="3" t="inlineStr">
        <is>
          <t>Nº recetas</t>
        </is>
      </c>
      <c r="F4" s="3" t="inlineStr">
        <is>
          <t>kcal/100</t>
        </is>
      </c>
      <c r="G4" s="3" t="inlineStr">
        <is>
          <t>P/100</t>
        </is>
      </c>
      <c r="H4" s="3" t="inlineStr">
        <is>
          <t>C/100</t>
        </is>
      </c>
      <c r="I4" s="3" t="inlineStr">
        <is>
          <t>G/100</t>
        </is>
      </c>
      <c r="J4" s="3" t="inlineStr">
        <is>
          <t>Fuente del precio</t>
        </is>
      </c>
      <c r="K4" s="3" t="inlineStr">
        <is>
          <t>Entra en</t>
        </is>
      </c>
    </row>
    <row r="5">
      <c r="A5" s="5" t="inlineStr">
        <is>
          <t>Agua purificada</t>
        </is>
      </c>
      <c r="B5" s="6" t="n">
        <v>2.5</v>
      </c>
      <c r="C5" s="6" t="n">
        <v>2.5</v>
      </c>
      <c r="D5" s="5" t="inlineStr">
        <is>
          <t>0</t>
        </is>
      </c>
      <c r="E5" s="5" t="n">
        <v>12</v>
      </c>
      <c r="F5" s="5" t="n">
        <v>0</v>
      </c>
      <c r="G5" s="5" t="n">
        <v>0</v>
      </c>
      <c r="H5" s="5" t="n">
        <v>0</v>
      </c>
      <c r="I5" s="5" t="n">
        <v>0</v>
      </c>
      <c r="J5" s="17" t="inlineStr">
        <is>
          <t>precio único de casa: garrafón 20 L a 50 MXN</t>
        </is>
      </c>
      <c r="K5" s="17" t="inlineStr">
        <is>
          <t>PS-01 → Huevo de lino, PS-01 → Pasta de dátil, PS-02 → Huevo de lino, PS-02 → Pasta de dátil, PS-03 → Huevo de lino, PS-03 → Pasta de dátil, PS-04, PS-04 → Huevo de lino, PS-04 → Pasta de dátil, PS-05, PS-05 → Huevo de lino, PS-05 → Pasta de dátil</t>
        </is>
      </c>
    </row>
    <row r="6">
      <c r="A6" s="5" t="inlineStr">
        <is>
          <t>Aceite de oliva virgen extra</t>
        </is>
      </c>
      <c r="B6" s="6" t="n">
        <v>210</v>
      </c>
      <c r="C6" s="6" t="n">
        <v>210</v>
      </c>
      <c r="D6" s="5" t="inlineStr">
        <is>
          <t>0</t>
        </is>
      </c>
      <c r="E6" s="5" t="n">
        <v>5</v>
      </c>
      <c r="F6" s="5" t="n">
        <v>884</v>
      </c>
      <c r="G6" s="5" t="n">
        <v>0</v>
      </c>
      <c r="H6" s="5" t="n">
        <v>0</v>
      </c>
      <c r="I6" s="5" t="n">
        <v>100</v>
      </c>
      <c r="J6" s="17" t="inlineStr">
        <is>
          <t>SUPUESTO — rango 180-260/L en lata de 5 L, mayoreo Puebla</t>
        </is>
      </c>
      <c r="K6" s="17" t="inlineStr">
        <is>
          <t>PS-01, PS-02, PS-03, PS-04, PS-05</t>
        </is>
      </c>
    </row>
    <row r="7">
      <c r="A7" s="5" t="inlineStr">
        <is>
          <t>Almidón de tapioca</t>
        </is>
      </c>
      <c r="B7" s="6" t="n">
        <v>60</v>
      </c>
      <c r="C7" s="6" t="n">
        <v>60</v>
      </c>
      <c r="D7" s="5" t="inlineStr">
        <is>
          <t>0</t>
        </is>
      </c>
      <c r="E7" s="5" t="n">
        <v>5</v>
      </c>
      <c r="F7" s="5" t="n">
        <v>358</v>
      </c>
      <c r="G7" s="5" t="n">
        <v>0.2</v>
      </c>
      <c r="H7" s="5" t="n">
        <v>88.7</v>
      </c>
      <c r="I7" s="5" t="n">
        <v>0</v>
      </c>
      <c r="J7" s="17" t="inlineStr">
        <is>
          <t>mayoreo.online — bulto 25 kg $1,500</t>
        </is>
      </c>
      <c r="K7" s="17" t="inlineStr">
        <is>
          <t>PS-01 → Mezcla de harinas sin gluten COSECHA, PS-02 → Mezcla de harinas sin gluten COSECHA, PS-03 → Mezcla de harinas sin gluten COSECHA, PS-04 → Mezcla de harinas sin gluten COSECHA, PS-05 → Mezcla de harinas sin gluten COSECHA</t>
        </is>
      </c>
    </row>
    <row r="8">
      <c r="A8" s="5" t="inlineStr">
        <is>
          <t>Bicarbonato de sodio</t>
        </is>
      </c>
      <c r="B8" s="6" t="n">
        <v>45</v>
      </c>
      <c r="C8" s="6" t="n">
        <v>45</v>
      </c>
      <c r="D8" s="5" t="inlineStr">
        <is>
          <t>0</t>
        </is>
      </c>
      <c r="E8" s="5" t="n">
        <v>5</v>
      </c>
      <c r="F8" s="5" t="n">
        <v>0</v>
      </c>
      <c r="G8" s="5" t="n">
        <v>0</v>
      </c>
      <c r="H8" s="5" t="n">
        <v>0</v>
      </c>
      <c r="I8" s="5" t="n">
        <v>0</v>
      </c>
      <c r="J8" s="17" t="inlineStr">
        <is>
          <t>SUPUESTO — rango 30-60</t>
        </is>
      </c>
      <c r="K8" s="17" t="inlineStr">
        <is>
          <t>PS-01, PS-02, PS-03, PS-04, PS-05</t>
        </is>
      </c>
    </row>
    <row r="9">
      <c r="A9" s="5" t="inlineStr">
        <is>
          <t>Dátil deshuesado</t>
        </is>
      </c>
      <c r="B9" s="6" t="n">
        <v>190</v>
      </c>
      <c r="C9" s="6" t="n">
        <v>190</v>
      </c>
      <c r="D9" s="5" t="inlineStr">
        <is>
          <t>3</t>
        </is>
      </c>
      <c r="E9" s="5" t="n">
        <v>5</v>
      </c>
      <c r="F9" s="5" t="n">
        <v>277</v>
      </c>
      <c r="G9" s="5" t="n">
        <v>1.8</v>
      </c>
      <c r="H9" s="5" t="n">
        <v>75</v>
      </c>
      <c r="I9" s="5" t="n">
        <v>0.2</v>
      </c>
      <c r="J9" s="17" t="inlineStr">
        <is>
          <t>SUPUESTO — rango 130-260 según calidad; medjool arriba, común abajo</t>
        </is>
      </c>
      <c r="K9" s="17" t="inlineStr">
        <is>
          <t>PS-01 → Pasta de dátil, PS-02 → Pasta de dátil, PS-03 → Pasta de dátil, PS-04 → Pasta de dátil, PS-05 → Pasta de dátil</t>
        </is>
      </c>
    </row>
    <row r="10">
      <c r="A10" s="5" t="inlineStr">
        <is>
          <t>Harina de almendra</t>
        </is>
      </c>
      <c r="B10" s="6" t="n">
        <v>184</v>
      </c>
      <c r="C10" s="6" t="n">
        <v>184</v>
      </c>
      <c r="D10" s="5" t="inlineStr">
        <is>
          <t>0</t>
        </is>
      </c>
      <c r="E10" s="5" t="n">
        <v>5</v>
      </c>
      <c r="F10" s="5" t="n">
        <v>579</v>
      </c>
      <c r="G10" s="5" t="n">
        <v>21.2</v>
      </c>
      <c r="H10" s="5" t="n">
        <v>21.6</v>
      </c>
      <c r="I10" s="5" t="n">
        <v>49.9</v>
      </c>
      <c r="J10" s="17" t="inlineStr">
        <is>
          <t>mayoreo.online — desde 5 kg</t>
        </is>
      </c>
      <c r="K10" s="17" t="inlineStr">
        <is>
          <t>PS-01 → Mezcla de harinas sin gluten COSECHA, PS-02 → Mezcla de harinas sin gluten COSECHA, PS-03 → Mezcla de harinas sin gluten COSECHA, PS-04 → Mezcla de harinas sin gluten COSECHA, PS-05 → Mezcla de harinas sin gluten COSECHA</t>
        </is>
      </c>
    </row>
    <row r="11">
      <c r="A11" s="5" t="inlineStr">
        <is>
          <t>Harina de arroz</t>
        </is>
      </c>
      <c r="B11" s="6" t="n">
        <v>45</v>
      </c>
      <c r="C11" s="6" t="n">
        <v>45</v>
      </c>
      <c r="D11" s="5" t="inlineStr">
        <is>
          <t>0</t>
        </is>
      </c>
      <c r="E11" s="5" t="n">
        <v>5</v>
      </c>
      <c r="F11" s="5" t="n">
        <v>366</v>
      </c>
      <c r="G11" s="5" t="n">
        <v>5.9</v>
      </c>
      <c r="H11" s="5" t="n">
        <v>80.09999999999999</v>
      </c>
      <c r="I11" s="5" t="n">
        <v>1.4</v>
      </c>
      <c r="J11" s="17" t="inlineStr">
        <is>
          <t>SUPUESTO — rango mayoreo 35-70; ML vende 1 kg a 55, granel baja a ~45</t>
        </is>
      </c>
      <c r="K11" s="17" t="inlineStr">
        <is>
          <t>PS-01 → Mezcla de harinas sin gluten COSECHA, PS-02 → Mezcla de harinas sin gluten COSECHA, PS-03 → Mezcla de harinas sin gluten COSECHA, PS-04 → Mezcla de harinas sin gluten COSECHA, PS-05 → Mezcla de harinas sin gluten COSECHA</t>
        </is>
      </c>
    </row>
    <row r="12">
      <c r="A12" s="5" t="inlineStr">
        <is>
          <t>Huevo de lino (sub-receta)</t>
        </is>
      </c>
      <c r="B12" s="6" t="n">
        <v>14.38</v>
      </c>
      <c r="C12" s="6" t="n">
        <v>14.38</v>
      </c>
      <c r="D12" s="5" t="inlineStr">
        <is>
          <t>0</t>
        </is>
      </c>
      <c r="E12" s="5" t="n">
        <v>5</v>
      </c>
      <c r="F12" s="5" t="n">
        <v>133.5</v>
      </c>
      <c r="G12" s="5" t="n">
        <v>4.6</v>
      </c>
      <c r="H12" s="5" t="n">
        <v>7.2</v>
      </c>
      <c r="I12" s="5" t="n">
        <v>10.6</v>
      </c>
      <c r="J12" s="17" t="inlineStr">
        <is>
          <t>sub-receta de casa</t>
        </is>
      </c>
      <c r="K12" s="17" t="inlineStr">
        <is>
          <t>PS-01, PS-02, PS-03, PS-04, PS-05</t>
        </is>
      </c>
    </row>
    <row r="13">
      <c r="A13" s="5" t="inlineStr">
        <is>
          <t>Linaza molida</t>
        </is>
      </c>
      <c r="B13" s="6" t="n">
        <v>50</v>
      </c>
      <c r="C13" s="6" t="n">
        <v>50</v>
      </c>
      <c r="D13" s="5" t="inlineStr">
        <is>
          <t>0</t>
        </is>
      </c>
      <c r="E13" s="5" t="n">
        <v>5</v>
      </c>
      <c r="F13" s="5" t="n">
        <v>534</v>
      </c>
      <c r="G13" s="5" t="n">
        <v>18.3</v>
      </c>
      <c r="H13" s="5" t="n">
        <v>28.9</v>
      </c>
      <c r="I13" s="5" t="n">
        <v>42.2</v>
      </c>
      <c r="J13" s="17" t="inlineStr">
        <is>
          <t>mayoreo.online — 10 kg $500</t>
        </is>
      </c>
      <c r="K13" s="17" t="inlineStr">
        <is>
          <t>PS-01 → Huevo de lino, PS-02 → Huevo de lino, PS-03 → Huevo de lino, PS-04 → Huevo de lino, PS-05 → Huevo de lino</t>
        </is>
      </c>
    </row>
    <row r="14">
      <c r="A14" s="5" t="inlineStr">
        <is>
          <t>Mezcla de harinas sin gluten COSECHA (sub-receta)</t>
        </is>
      </c>
      <c r="B14" s="6" t="n">
        <v>104.35</v>
      </c>
      <c r="C14" s="6" t="n">
        <v>104.35</v>
      </c>
      <c r="D14" s="5" t="inlineStr">
        <is>
          <t>0</t>
        </is>
      </c>
      <c r="E14" s="5" t="n">
        <v>5</v>
      </c>
      <c r="F14" s="5" t="n">
        <v>449</v>
      </c>
      <c r="G14" s="5" t="n">
        <v>10.6</v>
      </c>
      <c r="H14" s="5" t="n">
        <v>58.9</v>
      </c>
      <c r="I14" s="5" t="n">
        <v>20.5</v>
      </c>
      <c r="J14" s="17" t="inlineStr">
        <is>
          <t>sub-receta de casa; costo derivado de sus insumos</t>
        </is>
      </c>
      <c r="K14" s="17" t="inlineStr">
        <is>
          <t>PS-01, PS-02, PS-03, PS-04, PS-05</t>
        </is>
      </c>
    </row>
    <row r="15">
      <c r="A15" s="5" t="inlineStr">
        <is>
          <t>Pasta de dátil (sub-receta)</t>
        </is>
      </c>
      <c r="B15" s="6" t="n">
        <v>140.79</v>
      </c>
      <c r="C15" s="6" t="n">
        <v>140.79</v>
      </c>
      <c r="D15" s="5" t="inlineStr">
        <is>
          <t>0</t>
        </is>
      </c>
      <c r="E15" s="5" t="n">
        <v>5</v>
      </c>
      <c r="F15" s="5" t="n">
        <v>204</v>
      </c>
      <c r="G15" s="5" t="n">
        <v>1.3</v>
      </c>
      <c r="H15" s="5" t="n">
        <v>55.3</v>
      </c>
      <c r="I15" s="5" t="n">
        <v>0.2</v>
      </c>
      <c r="J15" s="17" t="inlineStr">
        <is>
          <t>sub-receta de casa</t>
        </is>
      </c>
      <c r="K15" s="17" t="inlineStr">
        <is>
          <t>PS-01, PS-02, PS-03, PS-04, PS-05</t>
        </is>
      </c>
    </row>
    <row r="16">
      <c r="A16" s="5" t="inlineStr">
        <is>
          <t>Sal fina de mar</t>
        </is>
      </c>
      <c r="B16" s="6" t="n">
        <v>16</v>
      </c>
      <c r="C16" s="6" t="n">
        <v>16</v>
      </c>
      <c r="D16" s="5" t="inlineStr">
        <is>
          <t>0</t>
        </is>
      </c>
      <c r="E16" s="5" t="n">
        <v>5</v>
      </c>
      <c r="F16" s="5" t="n">
        <v>0</v>
      </c>
      <c r="G16" s="5" t="n">
        <v>0</v>
      </c>
      <c r="H16" s="5" t="n">
        <v>0</v>
      </c>
      <c r="I16" s="5" t="n">
        <v>0</v>
      </c>
      <c r="J16" s="17" t="inlineStr">
        <is>
          <t>SUPUESTO — a granel</t>
        </is>
      </c>
      <c r="K16" s="17" t="inlineStr">
        <is>
          <t>PS-01, PS-02, PS-03, PS-04, PS-05</t>
        </is>
      </c>
    </row>
    <row r="17">
      <c r="A17" s="5" t="inlineStr">
        <is>
          <t>Piloncillo rallado</t>
        </is>
      </c>
      <c r="B17" s="6" t="n">
        <v>25</v>
      </c>
      <c r="C17" s="6" t="n">
        <v>25</v>
      </c>
      <c r="D17" s="5" t="inlineStr">
        <is>
          <t>0</t>
        </is>
      </c>
      <c r="E17" s="5" t="n">
        <v>4</v>
      </c>
      <c r="F17" s="5" t="n">
        <v>380</v>
      </c>
      <c r="G17" s="5" t="n">
        <v>0</v>
      </c>
      <c r="H17" s="5" t="n">
        <v>97</v>
      </c>
      <c r="I17" s="5" t="n">
        <v>0</v>
      </c>
      <c r="J17" s="17" t="inlineStr">
        <is>
          <t>mayoreo.online — caja 18 kg $450</t>
        </is>
      </c>
      <c r="K17" s="17" t="inlineStr">
        <is>
          <t>PS-01, PS-02, PS-04, PS-05</t>
        </is>
      </c>
    </row>
    <row r="18">
      <c r="A18" s="5" t="inlineStr">
        <is>
          <t>Extracto de vainilla de Papantla</t>
        </is>
      </c>
      <c r="B18" s="6" t="n">
        <v>1800</v>
      </c>
      <c r="C18" s="6" t="n">
        <v>1800</v>
      </c>
      <c r="D18" s="5" t="inlineStr">
        <is>
          <t>0</t>
        </is>
      </c>
      <c r="E18" s="5" t="n">
        <v>3</v>
      </c>
      <c r="F18" s="5" t="n">
        <v>288</v>
      </c>
      <c r="G18" s="5" t="n">
        <v>0.1</v>
      </c>
      <c r="H18" s="5" t="n">
        <v>12.7</v>
      </c>
      <c r="I18" s="5" t="n">
        <v>0.1</v>
      </c>
      <c r="J18" s="17" t="inlineStr">
        <is>
          <t>SUPUESTO — rango 1200-3000/L de extracto puro</t>
        </is>
      </c>
      <c r="K18" s="17" t="inlineStr">
        <is>
          <t>PS-01, PS-02, PS-04</t>
        </is>
      </c>
    </row>
    <row r="19">
      <c r="A19" s="5" t="inlineStr">
        <is>
          <t>Anacardo crudo</t>
        </is>
      </c>
      <c r="B19" s="6" t="n">
        <v>340</v>
      </c>
      <c r="C19" s="6" t="n">
        <v>340</v>
      </c>
      <c r="D19" s="5" t="inlineStr">
        <is>
          <t>0</t>
        </is>
      </c>
      <c r="E19" s="5" t="n">
        <v>2</v>
      </c>
      <c r="F19" s="5" t="n">
        <v>553</v>
      </c>
      <c r="G19" s="5" t="n">
        <v>18.2</v>
      </c>
      <c r="H19" s="5" t="n">
        <v>30.2</v>
      </c>
      <c r="I19" s="5" t="n">
        <v>43.8</v>
      </c>
      <c r="J19" s="17" t="inlineStr">
        <is>
          <t>SUPUESTO — rango 280-450</t>
        </is>
      </c>
      <c r="K19" s="17" t="inlineStr">
        <is>
          <t>PS-04, PS-05</t>
        </is>
      </c>
    </row>
    <row r="20">
      <c r="A20" s="5" t="inlineStr">
        <is>
          <t>Frambuesa liofilizada</t>
        </is>
      </c>
      <c r="B20" s="6" t="n">
        <v>1800</v>
      </c>
      <c r="C20" s="6" t="n">
        <v>1800</v>
      </c>
      <c r="D20" s="5" t="inlineStr">
        <is>
          <t>0</t>
        </is>
      </c>
      <c r="E20" s="5" t="n">
        <v>2</v>
      </c>
      <c r="F20" s="5" t="n">
        <v>350</v>
      </c>
      <c r="G20" s="5" t="n">
        <v>7</v>
      </c>
      <c r="H20" s="5" t="n">
        <v>78</v>
      </c>
      <c r="I20" s="5" t="n">
        <v>4</v>
      </c>
      <c r="J20" s="17" t="inlineStr">
        <is>
          <t>SUPUESTO — rango 1200-2500. Es el insumo más caro de la línea</t>
        </is>
      </c>
      <c r="K20" s="17" t="inlineStr">
        <is>
          <t>PS-02, PS-05</t>
        </is>
      </c>
    </row>
    <row r="21">
      <c r="A21" s="5" t="inlineStr">
        <is>
          <t>Mezcla de especias chai molida (canela, jengibre, cardamomo, clavo, pimienta)</t>
        </is>
      </c>
      <c r="B21" s="6" t="n">
        <v>320</v>
      </c>
      <c r="C21" s="6" t="n">
        <v>320</v>
      </c>
      <c r="D21" s="5" t="inlineStr">
        <is>
          <t>0</t>
        </is>
      </c>
      <c r="E21" s="5" t="n">
        <v>2</v>
      </c>
      <c r="F21" s="5" t="n">
        <v>250</v>
      </c>
      <c r="G21" s="5" t="n">
        <v>4</v>
      </c>
      <c r="H21" s="5" t="n">
        <v>60</v>
      </c>
      <c r="I21" s="5" t="n">
        <v>3</v>
      </c>
      <c r="J21" s="17" t="inlineStr">
        <is>
          <t>SUPUESTO — rango 200-600 según proporción de cardamomo</t>
        </is>
      </c>
      <c r="K21" s="17" t="inlineStr">
        <is>
          <t>PS-03, PS-04</t>
        </is>
      </c>
    </row>
    <row r="22">
      <c r="A22" s="5" t="inlineStr">
        <is>
          <t>Nuez pecana</t>
        </is>
      </c>
      <c r="B22" s="6" t="n">
        <v>280</v>
      </c>
      <c r="C22" s="6" t="n">
        <v>280</v>
      </c>
      <c r="D22" s="5" t="inlineStr">
        <is>
          <t>0</t>
        </is>
      </c>
      <c r="E22" s="5" t="n">
        <v>2</v>
      </c>
      <c r="F22" s="5" t="n">
        <v>691</v>
      </c>
      <c r="G22" s="5" t="n">
        <v>9.199999999999999</v>
      </c>
      <c r="H22" s="5" t="n">
        <v>13.9</v>
      </c>
      <c r="I22" s="5" t="n">
        <v>72</v>
      </c>
      <c r="J22" s="17" t="inlineStr">
        <is>
          <t>js/data.js — ya en almacén de COSECHA</t>
        </is>
      </c>
      <c r="K22" s="17" t="inlineStr">
        <is>
          <t>PS-03, PS-04</t>
        </is>
      </c>
    </row>
    <row r="23">
      <c r="A23" s="21" t="inlineStr">
        <is>
          <t>Avena en hojuela certificada sin gluten</t>
        </is>
      </c>
      <c r="B23" s="22" t="n">
        <v>110</v>
      </c>
      <c r="C23" s="22" t="n">
        <v>110</v>
      </c>
      <c r="D23" s="21" t="inlineStr">
        <is>
          <t>0</t>
        </is>
      </c>
      <c r="E23" s="21" t="n">
        <v>1</v>
      </c>
      <c r="F23" s="21" t="n">
        <v>389</v>
      </c>
      <c r="G23" s="21" t="n">
        <v>16.9</v>
      </c>
      <c r="H23" s="21" t="n">
        <v>66.3</v>
      </c>
      <c r="I23" s="21" t="n">
        <v>6.9</v>
      </c>
      <c r="J23" s="23" t="inlineStr">
        <is>
          <t>SUPUESTO — la avena normal va a 25-40 pero la CERTIFICADA sin gluten paga premium: rango 90-140</t>
        </is>
      </c>
      <c r="K23" s="23" t="inlineStr">
        <is>
          <t>PS-03</t>
        </is>
      </c>
    </row>
    <row r="24">
      <c r="A24" s="21" t="inlineStr">
        <is>
          <t>Cacao en polvo natural sin azúcar</t>
        </is>
      </c>
      <c r="B24" s="22" t="n">
        <v>240</v>
      </c>
      <c r="C24" s="22" t="n">
        <v>240</v>
      </c>
      <c r="D24" s="21" t="inlineStr">
        <is>
          <t>0</t>
        </is>
      </c>
      <c r="E24" s="21" t="n">
        <v>1</v>
      </c>
      <c r="F24" s="21" t="n">
        <v>228</v>
      </c>
      <c r="G24" s="21" t="n">
        <v>19.6</v>
      </c>
      <c r="H24" s="21" t="n">
        <v>57.9</v>
      </c>
      <c r="I24" s="21" t="n">
        <v>13.7</v>
      </c>
      <c r="J24" s="23" t="inlineStr">
        <is>
          <t>SUPUESTO — rango 180-300 a granel</t>
        </is>
      </c>
      <c r="K24" s="23" t="inlineStr">
        <is>
          <t>PS-05</t>
        </is>
      </c>
    </row>
    <row r="25">
      <c r="A25" s="21" t="inlineStr">
        <is>
          <t>Café de especialidad molido (el de la casa)</t>
        </is>
      </c>
      <c r="B25" s="22" t="n">
        <v>380</v>
      </c>
      <c r="C25" s="22" t="n">
        <v>380</v>
      </c>
      <c r="D25" s="21" t="inlineStr">
        <is>
          <t>0</t>
        </is>
      </c>
      <c r="E25" s="21" t="n">
        <v>1</v>
      </c>
      <c r="F25" s="21" t="n">
        <v>0</v>
      </c>
      <c r="G25" s="21" t="n">
        <v>0</v>
      </c>
      <c r="H25" s="21" t="n">
        <v>0</v>
      </c>
      <c r="I25" s="21" t="n">
        <v>0</v>
      </c>
      <c r="J25" s="23" t="inlineStr">
        <is>
          <t>SUPUESTO — mismo grano que la barra BE-07 a BE-14: sinergia de almacén</t>
        </is>
      </c>
      <c r="K25" s="23" t="inlineStr">
        <is>
          <t>PS-05</t>
        </is>
      </c>
    </row>
    <row r="26">
      <c r="A26" s="21" t="inlineStr">
        <is>
          <t>Cobertura de chocolate 70% sin lácteo</t>
        </is>
      </c>
      <c r="B26" s="22" t="n">
        <v>380</v>
      </c>
      <c r="C26" s="22" t="n">
        <v>380</v>
      </c>
      <c r="D26" s="21" t="inlineStr">
        <is>
          <t>0</t>
        </is>
      </c>
      <c r="E26" s="21" t="n">
        <v>1</v>
      </c>
      <c r="F26" s="21" t="n">
        <v>580</v>
      </c>
      <c r="G26" s="21" t="n">
        <v>7.8</v>
      </c>
      <c r="H26" s="21" t="n">
        <v>45.9</v>
      </c>
      <c r="I26" s="21" t="n">
        <v>42.6</v>
      </c>
      <c r="J26" s="23" t="inlineStr">
        <is>
          <t>SUPUESTO — rango 280-450; exigir lote sin leche ni manteca láctea</t>
        </is>
      </c>
      <c r="K26" s="23" t="inlineStr">
        <is>
          <t>PS-01</t>
        </is>
      </c>
    </row>
    <row r="27">
      <c r="A27" s="21" t="inlineStr">
        <is>
          <t>Cáscara de psyllium en polvo</t>
        </is>
      </c>
      <c r="B27" s="22" t="n">
        <v>320</v>
      </c>
      <c r="C27" s="22" t="n">
        <v>320</v>
      </c>
      <c r="D27" s="21" t="inlineStr">
        <is>
          <t>0</t>
        </is>
      </c>
      <c r="E27" s="21" t="n">
        <v>1</v>
      </c>
      <c r="F27" s="21" t="n">
        <v>200</v>
      </c>
      <c r="G27" s="21" t="n">
        <v>1.5</v>
      </c>
      <c r="H27" s="21" t="n">
        <v>88</v>
      </c>
      <c r="I27" s="21" t="n">
        <v>0.5</v>
      </c>
      <c r="J27" s="23" t="inlineStr">
        <is>
          <t>SUPUESTO — rango 250-450</t>
        </is>
      </c>
      <c r="K27" s="23" t="inlineStr">
        <is>
          <t>PS-03</t>
        </is>
      </c>
    </row>
    <row r="28">
      <c r="A28" s="21" t="inlineStr">
        <is>
          <t>Nibs de cacao tostados</t>
        </is>
      </c>
      <c r="B28" s="22" t="n">
        <v>350</v>
      </c>
      <c r="C28" s="22" t="n">
        <v>350</v>
      </c>
      <c r="D28" s="21" t="inlineStr">
        <is>
          <t>0</t>
        </is>
      </c>
      <c r="E28" s="21" t="n">
        <v>1</v>
      </c>
      <c r="F28" s="21" t="n">
        <v>465</v>
      </c>
      <c r="G28" s="21" t="n">
        <v>10.7</v>
      </c>
      <c r="H28" s="21" t="n">
        <v>8.699999999999999</v>
      </c>
      <c r="I28" s="21" t="n">
        <v>43</v>
      </c>
      <c r="J28" s="23" t="inlineStr">
        <is>
          <t>SUPUESTO — rango 300-420, nib mexicano de Tabasco/Chiapas</t>
        </is>
      </c>
      <c r="K28" s="23" t="inlineStr">
        <is>
          <t>PS-04</t>
        </is>
      </c>
    </row>
    <row r="29">
      <c r="A29" s="21" t="inlineStr">
        <is>
          <t>Pepita verde sin cáscara</t>
        </is>
      </c>
      <c r="B29" s="22" t="n">
        <v>260</v>
      </c>
      <c r="C29" s="22" t="n">
        <v>260</v>
      </c>
      <c r="D29" s="21" t="inlineStr">
        <is>
          <t>0</t>
        </is>
      </c>
      <c r="E29" s="21" t="n">
        <v>1</v>
      </c>
      <c r="F29" s="21" t="n">
        <v>559</v>
      </c>
      <c r="G29" s="21" t="n">
        <v>30.2</v>
      </c>
      <c r="H29" s="21" t="n">
        <v>10.7</v>
      </c>
      <c r="I29" s="21" t="n">
        <v>49</v>
      </c>
      <c r="J29" s="23" t="inlineStr">
        <is>
          <t>SUPUESTO — rango 220-320</t>
        </is>
      </c>
      <c r="K29" s="23" t="inlineStr">
        <is>
          <t>PS-04</t>
        </is>
      </c>
    </row>
    <row r="30">
      <c r="A30" s="21" t="inlineStr">
        <is>
          <t>Pistacho pelado crudo</t>
        </is>
      </c>
      <c r="B30" s="22" t="n">
        <v>850</v>
      </c>
      <c r="C30" s="22" t="n">
        <v>850</v>
      </c>
      <c r="D30" s="21" t="inlineStr">
        <is>
          <t>0</t>
        </is>
      </c>
      <c r="E30" s="21" t="n">
        <v>1</v>
      </c>
      <c r="F30" s="21" t="n">
        <v>560</v>
      </c>
      <c r="G30" s="21" t="n">
        <v>20.2</v>
      </c>
      <c r="H30" s="21" t="n">
        <v>27.2</v>
      </c>
      <c r="I30" s="21" t="n">
        <v>45.3</v>
      </c>
      <c r="J30" s="23" t="inlineStr">
        <is>
          <t>SUPUESTO — rango 700-1100. NO usar el $28/kg scrapeado: es un dato roto</t>
        </is>
      </c>
      <c r="K30" s="23" t="inlineStr">
        <is>
          <t>PS-02</t>
        </is>
      </c>
    </row>
    <row r="31">
      <c r="A31" s="21" t="inlineStr">
        <is>
          <t>Plátano Tabasco muy maduro</t>
        </is>
      </c>
      <c r="B31" s="22" t="n">
        <v>25</v>
      </c>
      <c r="C31" s="22" t="n">
        <v>25</v>
      </c>
      <c r="D31" s="21" t="inlineStr">
        <is>
          <t>35</t>
        </is>
      </c>
      <c r="E31" s="21" t="n">
        <v>1</v>
      </c>
      <c r="F31" s="21" t="n">
        <v>89</v>
      </c>
      <c r="G31" s="21" t="n">
        <v>1.1</v>
      </c>
      <c r="H31" s="21" t="n">
        <v>22.8</v>
      </c>
      <c r="I31" s="21" t="n">
        <v>0.3</v>
      </c>
      <c r="J31" s="23" t="inlineStr">
        <is>
          <t>SUPUESTO — rango 18-35 según temporada</t>
        </is>
      </c>
      <c r="K31" s="23" t="inlineStr">
        <is>
          <t>PS-03</t>
        </is>
      </c>
    </row>
    <row r="32">
      <c r="A32" s="21" t="inlineStr">
        <is>
          <t>Tahini (pasta de ajonjolí)</t>
        </is>
      </c>
      <c r="B32" s="22" t="n">
        <v>250</v>
      </c>
      <c r="C32" s="22" t="n">
        <v>250</v>
      </c>
      <c r="D32" s="21" t="inlineStr">
        <is>
          <t>0</t>
        </is>
      </c>
      <c r="E32" s="21" t="n">
        <v>1</v>
      </c>
      <c r="F32" s="21" t="n">
        <v>595</v>
      </c>
      <c r="G32" s="21" t="n">
        <v>17</v>
      </c>
      <c r="H32" s="21" t="n">
        <v>21.2</v>
      </c>
      <c r="I32" s="21" t="n">
        <v>53.8</v>
      </c>
      <c r="J32" s="23" t="inlineStr">
        <is>
          <t>SUPUESTO — rango 180-320. El ajonjolí en semilla va a 11-30/kg: molerlo en casa baja el costo a ~60/kg si hay molino</t>
        </is>
      </c>
      <c r="K32" s="23" t="inlineStr">
        <is>
          <t>PS-05</t>
        </is>
      </c>
    </row>
    <row r="33">
      <c r="A33" s="21" t="inlineStr">
        <is>
          <t>Zanahoria</t>
        </is>
      </c>
      <c r="B33" s="22" t="n">
        <v>18</v>
      </c>
      <c r="C33" s="22" t="n">
        <v>18</v>
      </c>
      <c r="D33" s="21" t="inlineStr">
        <is>
          <t>20</t>
        </is>
      </c>
      <c r="E33" s="21" t="n">
        <v>1</v>
      </c>
      <c r="F33" s="21" t="n">
        <v>41</v>
      </c>
      <c r="G33" s="21" t="n">
        <v>0.9</v>
      </c>
      <c r="H33" s="21" t="n">
        <v>9.6</v>
      </c>
      <c r="I33" s="21" t="n">
        <v>0.2</v>
      </c>
      <c r="J33" s="23" t="inlineStr">
        <is>
          <t>SUPUESTO — rango 12-25. Zanahoria AMARILLA no se consigue en Puebla: se usa naranja</t>
        </is>
      </c>
      <c r="K33" s="23" t="inlineStr">
        <is>
          <t>PS-04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2026-08-30T09:32:37Z</dcterms:created>
  <dcterms:modified xmlns:dcterms="http://purl.org/dc/terms/" xmlns:xsi="http://www.w3.org/2001/XMLSchema-instance" xsi:type="dcterms:W3CDTF">2026-08-30T09:32:37Z</dcterms:modified>
</cp:coreProperties>
</file>